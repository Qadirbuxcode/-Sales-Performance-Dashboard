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PI_Dashboard" sheetId="1" state="visible" r:id="rId3"/>
    <sheet name="Sales_Data" sheetId="2" state="visible" r:id="rId4"/>
    <sheet name="Monthly_Summary" sheetId="3" state="visible" r:id="rId5"/>
    <sheet name="Region_Summary" sheetId="4" state="visible" r:id="rId6"/>
    <sheet name="Top_Products" sheetId="5" state="visible" r:id="rId7"/>
  </sheets>
  <definedNames>
    <definedName function="false" hidden="true" localSheetId="1" name="_xlnm._FilterDatabase" vbProcedure="false">Sales_Data!$A$1:$N$1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<sst xmlns="http://schemas.openxmlformats.org/spreadsheetml/2006/main" count="927" uniqueCount="384">
  <si>
    <t xml:space="preserve">📊  SALES PERFORMANCE DASHBOARD — 2024</t>
  </si>
  <si>
    <t xml:space="preserve">TOTAL REVENUE</t>
  </si>
  <si>
    <t xml:space="preserve">TOTAL PROFIT</t>
  </si>
  <si>
    <t xml:space="preserve">TOTAL ORDERS</t>
  </si>
  <si>
    <t xml:space="preserve">PROFIT MARGIN</t>
  </si>
  <si>
    <t xml:space="preserve">PKR 7,459,335</t>
  </si>
  <si>
    <t xml:space="preserve">PKR 1,729,140</t>
  </si>
  <si>
    <t xml:space="preserve">120 Orders</t>
  </si>
  <si>
    <t xml:space="preserve">23.2%</t>
  </si>
  <si>
    <t xml:space="preserve">KEY BUSINESS INSIGHTS</t>
  </si>
  <si>
    <t xml:space="preserve">✅  Q4 (Oct-Dec) generated 37% of annual revenue — peak season driven by Electronics bulk orders.</t>
  </si>
  <si>
    <t xml:space="preserve">✅  South region (Karachi) leads with PKR 2.46M sales — highest order volume (42 orders).</t>
  </si>
  <si>
    <t xml:space="preserve">✅  Electronics category contributes 61% of total revenue but Furniture has better margin per unit.</t>
  </si>
  <si>
    <t xml:space="preserve">✅  Orders with 10%+ discount show 28% lower profit margin — recommend discount cap at 8%.</t>
  </si>
  <si>
    <t xml:space="preserve">✅  Laptop Pro 15 is the best-selling product — PKR 1.38M revenue across 17 units sold.</t>
  </si>
  <si>
    <t xml:space="preserve">Order_ID</t>
  </si>
  <si>
    <t xml:space="preserve">Order_Date</t>
  </si>
  <si>
    <t xml:space="preserve">Customer_Name</t>
  </si>
  <si>
    <t xml:space="preserve">Customer_Segment</t>
  </si>
  <si>
    <t xml:space="preserve">Region</t>
  </si>
  <si>
    <t xml:space="preserve">City</t>
  </si>
  <si>
    <t xml:space="preserve">Product_Category</t>
  </si>
  <si>
    <t xml:space="preserve">Product_Name</t>
  </si>
  <si>
    <t xml:space="preserve">Units_Sold</t>
  </si>
  <si>
    <t xml:space="preserve">Unit_Price</t>
  </si>
  <si>
    <t xml:space="preserve">Discount</t>
  </si>
  <si>
    <t xml:space="preserve">Sales</t>
  </si>
  <si>
    <t xml:space="preserve">Cost</t>
  </si>
  <si>
    <t xml:space="preserve">Profit</t>
  </si>
  <si>
    <t xml:space="preserve">2024-01-03</t>
  </si>
  <si>
    <t xml:space="preserve">Ahmed Khan</t>
  </si>
  <si>
    <t xml:space="preserve">Corporate</t>
  </si>
  <si>
    <t xml:space="preserve">North</t>
  </si>
  <si>
    <t xml:space="preserve">Lahore</t>
  </si>
  <si>
    <t xml:space="preserve">Electronics</t>
  </si>
  <si>
    <t xml:space="preserve">Laptop Pro 15</t>
  </si>
  <si>
    <t xml:space="preserve">2024-01-05</t>
  </si>
  <si>
    <t xml:space="preserve">Sara Malik</t>
  </si>
  <si>
    <t xml:space="preserve">Consumer</t>
  </si>
  <si>
    <t xml:space="preserve">South</t>
  </si>
  <si>
    <t xml:space="preserve">Karachi</t>
  </si>
  <si>
    <t xml:space="preserve">Furniture</t>
  </si>
  <si>
    <t xml:space="preserve">Office Chair Deluxe</t>
  </si>
  <si>
    <t xml:space="preserve">2024-01-07</t>
  </si>
  <si>
    <t xml:space="preserve">Bilal Ahmed</t>
  </si>
  <si>
    <t xml:space="preserve">Home Office</t>
  </si>
  <si>
    <t xml:space="preserve">East</t>
  </si>
  <si>
    <t xml:space="preserve">Peshawar</t>
  </si>
  <si>
    <t xml:space="preserve">Office Supplies</t>
  </si>
  <si>
    <t xml:space="preserve">Stapler Set</t>
  </si>
  <si>
    <t xml:space="preserve">2024-01-10</t>
  </si>
  <si>
    <t xml:space="preserve">Fatima Noor</t>
  </si>
  <si>
    <t xml:space="preserve">West</t>
  </si>
  <si>
    <t xml:space="preserve">Quetta</t>
  </si>
  <si>
    <t xml:space="preserve">Wireless Mouse</t>
  </si>
  <si>
    <t xml:space="preserve">2024-01-12</t>
  </si>
  <si>
    <t xml:space="preserve">Usman Tariq</t>
  </si>
  <si>
    <t xml:space="preserve">Standing Desk</t>
  </si>
  <si>
    <t xml:space="preserve">2024-01-15</t>
  </si>
  <si>
    <t xml:space="preserve">Hina Rao</t>
  </si>
  <si>
    <t xml:space="preserve">Printer Paper A4</t>
  </si>
  <si>
    <t xml:space="preserve">2024-01-18</t>
  </si>
  <si>
    <t xml:space="preserve">Kamran Ali</t>
  </si>
  <si>
    <t xml:space="preserve">Islamabad</t>
  </si>
  <si>
    <t xml:space="preserve">Monitor 27in</t>
  </si>
  <si>
    <t xml:space="preserve">2024-01-20</t>
  </si>
  <si>
    <t xml:space="preserve">Ayesha Siddiqui</t>
  </si>
  <si>
    <t xml:space="preserve">Faisalabad</t>
  </si>
  <si>
    <t xml:space="preserve">Conference Table</t>
  </si>
  <si>
    <t xml:space="preserve">2024-01-22</t>
  </si>
  <si>
    <t xml:space="preserve">Zara Hussain</t>
  </si>
  <si>
    <t xml:space="preserve">Tablet 10in</t>
  </si>
  <si>
    <t xml:space="preserve">2024-01-25</t>
  </si>
  <si>
    <t xml:space="preserve">Imran Sheikh</t>
  </si>
  <si>
    <t xml:space="preserve">Multan</t>
  </si>
  <si>
    <t xml:space="preserve">Whiteboard Markers</t>
  </si>
  <si>
    <t xml:space="preserve">2024-02-01</t>
  </si>
  <si>
    <t xml:space="preserve">Ballpoint Pens Pack</t>
  </si>
  <si>
    <t xml:space="preserve">2024-02-03</t>
  </si>
  <si>
    <t xml:space="preserve">Raza Butt</t>
  </si>
  <si>
    <t xml:space="preserve">Hyderabad</t>
  </si>
  <si>
    <t xml:space="preserve">Bluetooth Speaker</t>
  </si>
  <si>
    <t xml:space="preserve">2024-02-06</t>
  </si>
  <si>
    <t xml:space="preserve">Nadia Chaudhry</t>
  </si>
  <si>
    <t xml:space="preserve">Rawalpindi</t>
  </si>
  <si>
    <t xml:space="preserve">Bookshelf Wooden</t>
  </si>
  <si>
    <t xml:space="preserve">2024-02-08</t>
  </si>
  <si>
    <t xml:space="preserve">Tariq Mehmood</t>
  </si>
  <si>
    <t xml:space="preserve">Keyboard Mechanical</t>
  </si>
  <si>
    <t xml:space="preserve">2024-02-11</t>
  </si>
  <si>
    <t xml:space="preserve">Sana Javed</t>
  </si>
  <si>
    <t xml:space="preserve">Sofa Set 3-Seater</t>
  </si>
  <si>
    <t xml:space="preserve">2024-02-14</t>
  </si>
  <si>
    <t xml:space="preserve">Hamid Raza</t>
  </si>
  <si>
    <t xml:space="preserve">Sticky Notes Bulk</t>
  </si>
  <si>
    <t xml:space="preserve">2024-02-17</t>
  </si>
  <si>
    <t xml:space="preserve">Madiha Khan</t>
  </si>
  <si>
    <t xml:space="preserve">Smartwatch X1</t>
  </si>
  <si>
    <t xml:space="preserve">2024-02-19</t>
  </si>
  <si>
    <t xml:space="preserve">Faisal Iqbal</t>
  </si>
  <si>
    <t xml:space="preserve">Ergonomic Chair</t>
  </si>
  <si>
    <t xml:space="preserve">2024-02-22</t>
  </si>
  <si>
    <t xml:space="preserve">Shazia Akhtar</t>
  </si>
  <si>
    <t xml:space="preserve">Sialkot</t>
  </si>
  <si>
    <t xml:space="preserve">File Folders Box</t>
  </si>
  <si>
    <t xml:space="preserve">2024-02-25</t>
  </si>
  <si>
    <t xml:space="preserve">Adeel Ahmad</t>
  </si>
  <si>
    <t xml:space="preserve">Webcam HD</t>
  </si>
  <si>
    <t xml:space="preserve">2024-03-01</t>
  </si>
  <si>
    <t xml:space="preserve">USB Hub 7-Port</t>
  </si>
  <si>
    <t xml:space="preserve">2024-03-04</t>
  </si>
  <si>
    <t xml:space="preserve">Aisha Nawaz</t>
  </si>
  <si>
    <t xml:space="preserve">Reception Desk</t>
  </si>
  <si>
    <t xml:space="preserve">2024-03-07</t>
  </si>
  <si>
    <t xml:space="preserve">Naeem Qureshi</t>
  </si>
  <si>
    <t xml:space="preserve">Gujranwala</t>
  </si>
  <si>
    <t xml:space="preserve">Staple Pins Box</t>
  </si>
  <si>
    <t xml:space="preserve">2024-03-10</t>
  </si>
  <si>
    <t xml:space="preserve">Samina Baig</t>
  </si>
  <si>
    <t xml:space="preserve">External SSD 1TB</t>
  </si>
  <si>
    <t xml:space="preserve">2024-03-13</t>
  </si>
  <si>
    <t xml:space="preserve">Omer Farooq</t>
  </si>
  <si>
    <t xml:space="preserve">IP Camera Set</t>
  </si>
  <si>
    <t xml:space="preserve">2024-03-16</t>
  </si>
  <si>
    <t xml:space="preserve">Lubna Shah</t>
  </si>
  <si>
    <t xml:space="preserve">Wardrobe 3-Door</t>
  </si>
  <si>
    <t xml:space="preserve">2024-03-19</t>
  </si>
  <si>
    <t xml:space="preserve">Danish Riaz</t>
  </si>
  <si>
    <t xml:space="preserve">Desk Organizer</t>
  </si>
  <si>
    <t xml:space="preserve">2024-03-22</t>
  </si>
  <si>
    <t xml:space="preserve">Bushra Malik</t>
  </si>
  <si>
    <t xml:space="preserve">Projector HD</t>
  </si>
  <si>
    <t xml:space="preserve">2024-03-25</t>
  </si>
  <si>
    <t xml:space="preserve">Junaid Hassan</t>
  </si>
  <si>
    <t xml:space="preserve">Dining Table Set</t>
  </si>
  <si>
    <t xml:space="preserve">2024-03-28</t>
  </si>
  <si>
    <t xml:space="preserve">Rabia Anwar</t>
  </si>
  <si>
    <t xml:space="preserve">Laminator Machine</t>
  </si>
  <si>
    <t xml:space="preserve">2024-04-02</t>
  </si>
  <si>
    <t xml:space="preserve">Router WiFi 6</t>
  </si>
  <si>
    <t xml:space="preserve">2024-04-05</t>
  </si>
  <si>
    <t xml:space="preserve">Yasir Nawaz</t>
  </si>
  <si>
    <t xml:space="preserve">Coffee Table</t>
  </si>
  <si>
    <t xml:space="preserve">2024-04-08</t>
  </si>
  <si>
    <t xml:space="preserve">Maryam Sajid</t>
  </si>
  <si>
    <t xml:space="preserve">Paper Shredder</t>
  </si>
  <si>
    <t xml:space="preserve">2024-04-11</t>
  </si>
  <si>
    <t xml:space="preserve">Shahid Javed</t>
  </si>
  <si>
    <t xml:space="preserve">Portable Charger</t>
  </si>
  <si>
    <t xml:space="preserve">2024-04-14</t>
  </si>
  <si>
    <t xml:space="preserve">Tahira Ghani</t>
  </si>
  <si>
    <t xml:space="preserve">Filing Cabinet</t>
  </si>
  <si>
    <t xml:space="preserve">2024-04-17</t>
  </si>
  <si>
    <t xml:space="preserve">Asad Mirza</t>
  </si>
  <si>
    <t xml:space="preserve">Server Rack Unit</t>
  </si>
  <si>
    <t xml:space="preserve">2024-04-20</t>
  </si>
  <si>
    <t xml:space="preserve">Nida Farhat</t>
  </si>
  <si>
    <t xml:space="preserve">Calendar Planner</t>
  </si>
  <si>
    <t xml:space="preserve">2024-04-23</t>
  </si>
  <si>
    <t xml:space="preserve">Waqar Ali</t>
  </si>
  <si>
    <t xml:space="preserve">Smart TV 43in</t>
  </si>
  <si>
    <t xml:space="preserve">2024-04-26</t>
  </si>
  <si>
    <t xml:space="preserve">Farah Zaman</t>
  </si>
  <si>
    <t xml:space="preserve">Modular Workstation</t>
  </si>
  <si>
    <t xml:space="preserve">2024-04-29</t>
  </si>
  <si>
    <t xml:space="preserve">Rizwan Haider</t>
  </si>
  <si>
    <t xml:space="preserve">Binding Machine</t>
  </si>
  <si>
    <t xml:space="preserve">2024-05-02</t>
  </si>
  <si>
    <t xml:space="preserve">Saba Naz</t>
  </si>
  <si>
    <t xml:space="preserve">Noise Cancel Headphones</t>
  </si>
  <si>
    <t xml:space="preserve">2024-05-05</t>
  </si>
  <si>
    <t xml:space="preserve">Khalid Rana</t>
  </si>
  <si>
    <t xml:space="preserve">Executive Desk</t>
  </si>
  <si>
    <t xml:space="preserve">2024-05-08</t>
  </si>
  <si>
    <t xml:space="preserve">Huma Arif</t>
  </si>
  <si>
    <t xml:space="preserve">Printer Ink Set</t>
  </si>
  <si>
    <t xml:space="preserve">2024-05-11</t>
  </si>
  <si>
    <t xml:space="preserve">Umair Sohail</t>
  </si>
  <si>
    <t xml:space="preserve">Graphics Tablet</t>
  </si>
  <si>
    <t xml:space="preserve">2024-05-14</t>
  </si>
  <si>
    <t xml:space="preserve">Amna Qadri</t>
  </si>
  <si>
    <t xml:space="preserve">Waiting Room Chairs</t>
  </si>
  <si>
    <t xml:space="preserve">2024-05-17</t>
  </si>
  <si>
    <t xml:space="preserve">Salman Raza</t>
  </si>
  <si>
    <t xml:space="preserve">Gaming Chair</t>
  </si>
  <si>
    <t xml:space="preserve">2024-05-20</t>
  </si>
  <si>
    <t xml:space="preserve">Zainab Mirza</t>
  </si>
  <si>
    <t xml:space="preserve">Document Scanner</t>
  </si>
  <si>
    <t xml:space="preserve">2024-05-23</t>
  </si>
  <si>
    <t xml:space="preserve">Irfan Butt</t>
  </si>
  <si>
    <t xml:space="preserve">UPS 1500VA</t>
  </si>
  <si>
    <t xml:space="preserve">2024-05-26</t>
  </si>
  <si>
    <t xml:space="preserve">Mehwish Aftab</t>
  </si>
  <si>
    <t xml:space="preserve">Recliner Chair</t>
  </si>
  <si>
    <t xml:space="preserve">2024-05-29</t>
  </si>
  <si>
    <t xml:space="preserve">Danyal Sheikh</t>
  </si>
  <si>
    <t xml:space="preserve">Whiteboard 4x6</t>
  </si>
  <si>
    <t xml:space="preserve">2024-06-02</t>
  </si>
  <si>
    <t xml:space="preserve">Asma Tariq</t>
  </si>
  <si>
    <t xml:space="preserve">2024-06-05</t>
  </si>
  <si>
    <t xml:space="preserve">Fawad Alam</t>
  </si>
  <si>
    <t xml:space="preserve">L-Shape Desk</t>
  </si>
  <si>
    <t xml:space="preserve">2024-06-08</t>
  </si>
  <si>
    <t xml:space="preserve">Shehla Iqbal</t>
  </si>
  <si>
    <t xml:space="preserve">Label Maker</t>
  </si>
  <si>
    <t xml:space="preserve">2024-06-11</t>
  </si>
  <si>
    <t xml:space="preserve">Muzammil Khan</t>
  </si>
  <si>
    <t xml:space="preserve">Multi-Function Printer</t>
  </si>
  <si>
    <t xml:space="preserve">2024-06-14</t>
  </si>
  <si>
    <t xml:space="preserve">Hira Batool</t>
  </si>
  <si>
    <t xml:space="preserve">Shoe Rack Cabinet</t>
  </si>
  <si>
    <t xml:space="preserve">2024-06-17</t>
  </si>
  <si>
    <t xml:space="preserve">Aamir Liaquat</t>
  </si>
  <si>
    <t xml:space="preserve">Smart Doorbell</t>
  </si>
  <si>
    <t xml:space="preserve">2024-06-20</t>
  </si>
  <si>
    <t xml:space="preserve">Rukhsana Bano</t>
  </si>
  <si>
    <t xml:space="preserve">Heavy Duty Puncher</t>
  </si>
  <si>
    <t xml:space="preserve">2024-06-23</t>
  </si>
  <si>
    <t xml:space="preserve">Waheed Zafar</t>
  </si>
  <si>
    <t xml:space="preserve">Portable Speaker</t>
  </si>
  <si>
    <t xml:space="preserve">2024-06-26</t>
  </si>
  <si>
    <t xml:space="preserve">Naila Rehman</t>
  </si>
  <si>
    <t xml:space="preserve">Storage Ottoman</t>
  </si>
  <si>
    <t xml:space="preserve">2024-06-29</t>
  </si>
  <si>
    <t xml:space="preserve">Saeed Bhatti</t>
  </si>
  <si>
    <t xml:space="preserve">Network Switch 24P</t>
  </si>
  <si>
    <t xml:space="preserve">2024-07-03</t>
  </si>
  <si>
    <t xml:space="preserve">2024-07-06</t>
  </si>
  <si>
    <t xml:space="preserve">Umaima Rauf</t>
  </si>
  <si>
    <t xml:space="preserve">Bunk Bed Wooden</t>
  </si>
  <si>
    <t xml:space="preserve">2024-07-09</t>
  </si>
  <si>
    <t xml:space="preserve">Sarfraz Hussain</t>
  </si>
  <si>
    <t xml:space="preserve">Correction Tape Pack</t>
  </si>
  <si>
    <t xml:space="preserve">2024-07-12</t>
  </si>
  <si>
    <t xml:space="preserve">Kiran Akhtar</t>
  </si>
  <si>
    <t xml:space="preserve">4K Webcam</t>
  </si>
  <si>
    <t xml:space="preserve">2024-07-15</t>
  </si>
  <si>
    <t xml:space="preserve">Mustafa Kamal</t>
  </si>
  <si>
    <t xml:space="preserve">King Bed Frame</t>
  </si>
  <si>
    <t xml:space="preserve">2024-07-18</t>
  </si>
  <si>
    <t xml:space="preserve">Desk Calendar</t>
  </si>
  <si>
    <t xml:space="preserve">2024-07-21</t>
  </si>
  <si>
    <t xml:space="preserve">Rehan Malik</t>
  </si>
  <si>
    <t xml:space="preserve">Smart Home Hub</t>
  </si>
  <si>
    <t xml:space="preserve">2024-07-24</t>
  </si>
  <si>
    <t xml:space="preserve">Fouzia Parveen</t>
  </si>
  <si>
    <t xml:space="preserve">Meeting Room Table</t>
  </si>
  <si>
    <t xml:space="preserve">2024-07-27</t>
  </si>
  <si>
    <t xml:space="preserve">Hamza Baig</t>
  </si>
  <si>
    <t xml:space="preserve">2024-07-30</t>
  </si>
  <si>
    <t xml:space="preserve">Paper Trimmer</t>
  </si>
  <si>
    <t xml:space="preserve">2024-08-02</t>
  </si>
  <si>
    <t xml:space="preserve">Maham Saleem</t>
  </si>
  <si>
    <t xml:space="preserve">External HDD 2TB</t>
  </si>
  <si>
    <t xml:space="preserve">2024-08-05</t>
  </si>
  <si>
    <t xml:space="preserve">Imtiaz Cheema</t>
  </si>
  <si>
    <t xml:space="preserve">Executive Chair</t>
  </si>
  <si>
    <t xml:space="preserve">2024-08-08</t>
  </si>
  <si>
    <t xml:space="preserve">Nasreen Fatima</t>
  </si>
  <si>
    <t xml:space="preserve">Stapler Heavy Duty</t>
  </si>
  <si>
    <t xml:space="preserve">2024-08-11</t>
  </si>
  <si>
    <t xml:space="preserve">Taha Siddiqui</t>
  </si>
  <si>
    <t xml:space="preserve">Smart Plug 4-Pack</t>
  </si>
  <si>
    <t xml:space="preserve">2024-08-14</t>
  </si>
  <si>
    <t xml:space="preserve">Lounge Sofa Set</t>
  </si>
  <si>
    <t xml:space="preserve">2024-08-17</t>
  </si>
  <si>
    <t xml:space="preserve">Naveed Anwar</t>
  </si>
  <si>
    <t xml:space="preserve">Drone Mini</t>
  </si>
  <si>
    <t xml:space="preserve">2024-08-20</t>
  </si>
  <si>
    <t xml:space="preserve">Saima Ghafoor</t>
  </si>
  <si>
    <t xml:space="preserve">Notebook Pack 10</t>
  </si>
  <si>
    <t xml:space="preserve">2024-08-23</t>
  </si>
  <si>
    <t xml:space="preserve">Iqbal Chaudhry</t>
  </si>
  <si>
    <t xml:space="preserve">Biometric Attendance</t>
  </si>
  <si>
    <t xml:space="preserve">2024-08-26</t>
  </si>
  <si>
    <t xml:space="preserve">Fariha Lateef</t>
  </si>
  <si>
    <t xml:space="preserve">TV Cabinet</t>
  </si>
  <si>
    <t xml:space="preserve">2024-08-29</t>
  </si>
  <si>
    <t xml:space="preserve">Shoaib Akhtar</t>
  </si>
  <si>
    <t xml:space="preserve">Security Camera 4K</t>
  </si>
  <si>
    <t xml:space="preserve">2024-09-02</t>
  </si>
  <si>
    <t xml:space="preserve">Laminating Pouches</t>
  </si>
  <si>
    <t xml:space="preserve">2024-09-05</t>
  </si>
  <si>
    <t xml:space="preserve">2024-09-08</t>
  </si>
  <si>
    <t xml:space="preserve">Sofa Chair Set</t>
  </si>
  <si>
    <t xml:space="preserve">2024-09-11</t>
  </si>
  <si>
    <t xml:space="preserve">Ring Light Kit</t>
  </si>
  <si>
    <t xml:space="preserve">2024-09-14</t>
  </si>
  <si>
    <t xml:space="preserve">Omar Shahid</t>
  </si>
  <si>
    <t xml:space="preserve">Heavy Shredder</t>
  </si>
  <si>
    <t xml:space="preserve">2024-09-17</t>
  </si>
  <si>
    <t xml:space="preserve">Corner Shelf Unit</t>
  </si>
  <si>
    <t xml:space="preserve">2024-09-20</t>
  </si>
  <si>
    <t xml:space="preserve">Portable Monitor</t>
  </si>
  <si>
    <t xml:space="preserve">2024-09-23</t>
  </si>
  <si>
    <t xml:space="preserve">Magnetic Board</t>
  </si>
  <si>
    <t xml:space="preserve">2024-09-26</t>
  </si>
  <si>
    <t xml:space="preserve">Mechanical Keyboard</t>
  </si>
  <si>
    <t xml:space="preserve">2024-09-29</t>
  </si>
  <si>
    <t xml:space="preserve">Director Chair</t>
  </si>
  <si>
    <t xml:space="preserve">2024-10-03</t>
  </si>
  <si>
    <t xml:space="preserve">Action Camera</t>
  </si>
  <si>
    <t xml:space="preserve">2024-10-06</t>
  </si>
  <si>
    <t xml:space="preserve">Color Printer</t>
  </si>
  <si>
    <t xml:space="preserve">2024-10-09</t>
  </si>
  <si>
    <t xml:space="preserve">Queen Bed Set</t>
  </si>
  <si>
    <t xml:space="preserve">2024-10-12</t>
  </si>
  <si>
    <t xml:space="preserve">2024-10-15</t>
  </si>
  <si>
    <t xml:space="preserve">Office Chair Mat</t>
  </si>
  <si>
    <t xml:space="preserve">2024-10-18</t>
  </si>
  <si>
    <t xml:space="preserve">Smart Speaker</t>
  </si>
  <si>
    <t xml:space="preserve">2024-10-21</t>
  </si>
  <si>
    <t xml:space="preserve">Dressing Table</t>
  </si>
  <si>
    <t xml:space="preserve">2024-10-24</t>
  </si>
  <si>
    <t xml:space="preserve">VR Headset</t>
  </si>
  <si>
    <t xml:space="preserve">2024-10-27</t>
  </si>
  <si>
    <t xml:space="preserve">Attendance Register</t>
  </si>
  <si>
    <t xml:space="preserve">2024-10-30</t>
  </si>
  <si>
    <t xml:space="preserve">Monitor Stand</t>
  </si>
  <si>
    <t xml:space="preserve">2024-11-02</t>
  </si>
  <si>
    <t xml:space="preserve">Fingerprint Scanner</t>
  </si>
  <si>
    <t xml:space="preserve">2024-11-05</t>
  </si>
  <si>
    <t xml:space="preserve">Sectional Sofa</t>
  </si>
  <si>
    <t xml:space="preserve">2024-11-08</t>
  </si>
  <si>
    <t xml:space="preserve">Large Format Printer</t>
  </si>
  <si>
    <t xml:space="preserve">2024-11-11</t>
  </si>
  <si>
    <t xml:space="preserve">CCTV System 8CH</t>
  </si>
  <si>
    <t xml:space="preserve">2024-11-14</t>
  </si>
  <si>
    <t xml:space="preserve">Kids Study Table</t>
  </si>
  <si>
    <t xml:space="preserve">2024-11-17</t>
  </si>
  <si>
    <t xml:space="preserve">Wireless Earbuds</t>
  </si>
  <si>
    <t xml:space="preserve">2024-11-20</t>
  </si>
  <si>
    <t xml:space="preserve">Document Camera</t>
  </si>
  <si>
    <t xml:space="preserve">2024-11-23</t>
  </si>
  <si>
    <t xml:space="preserve">2024-11-26</t>
  </si>
  <si>
    <t xml:space="preserve">Floating Shelves Set</t>
  </si>
  <si>
    <t xml:space="preserve">2024-11-29</t>
  </si>
  <si>
    <t xml:space="preserve">POS Terminal</t>
  </si>
  <si>
    <t xml:space="preserve">2024-12-02</t>
  </si>
  <si>
    <t xml:space="preserve">2024-12-05</t>
  </si>
  <si>
    <t xml:space="preserve">Boardroom Chairs</t>
  </si>
  <si>
    <t xml:space="preserve">2024-12-08</t>
  </si>
  <si>
    <t xml:space="preserve">Projector Screen</t>
  </si>
  <si>
    <t xml:space="preserve">2024-12-11</t>
  </si>
  <si>
    <t xml:space="preserve">Server Switch</t>
  </si>
  <si>
    <t xml:space="preserve">2024-12-14</t>
  </si>
  <si>
    <t xml:space="preserve">Study Room Set</t>
  </si>
  <si>
    <t xml:space="preserve">2024-12-17</t>
  </si>
  <si>
    <t xml:space="preserve">Smart TV 55in</t>
  </si>
  <si>
    <t xml:space="preserve">2024-12-20</t>
  </si>
  <si>
    <t xml:space="preserve">Ergonomic Keyboard</t>
  </si>
  <si>
    <t xml:space="preserve">2024-12-23</t>
  </si>
  <si>
    <t xml:space="preserve">2024-12-26</t>
  </si>
  <si>
    <t xml:space="preserve">Training Room Setup</t>
  </si>
  <si>
    <t xml:space="preserve">2024-12-29</t>
  </si>
  <si>
    <t xml:space="preserve">Laptop Stand Adjustable</t>
  </si>
  <si>
    <t xml:space="preserve">MONTHLY SALES SUMMARY — 2024</t>
  </si>
  <si>
    <t xml:space="preserve">Month</t>
  </si>
  <si>
    <t xml:space="preserve">Orders</t>
  </si>
  <si>
    <t xml:space="preserve">Total Sales (PKR)</t>
  </si>
  <si>
    <t xml:space="preserve">Total Cost (PKR)</t>
  </si>
  <si>
    <t xml:space="preserve">Total Profit (PKR)</t>
  </si>
  <si>
    <t xml:space="preserve">Profit Margin %</t>
  </si>
  <si>
    <t xml:space="preserve">Jan 2024</t>
  </si>
  <si>
    <t xml:space="preserve">Feb 2024</t>
  </si>
  <si>
    <t xml:space="preserve">Mar 2024</t>
  </si>
  <si>
    <t xml:space="preserve">Apr 2024</t>
  </si>
  <si>
    <t xml:space="preserve">May 2024</t>
  </si>
  <si>
    <t xml:space="preserve">Jun 2024</t>
  </si>
  <si>
    <t xml:space="preserve">Jul 2024</t>
  </si>
  <si>
    <t xml:space="preserve">Aug 2024</t>
  </si>
  <si>
    <t xml:space="preserve">Sep 2024</t>
  </si>
  <si>
    <t xml:space="preserve">Oct 2024</t>
  </si>
  <si>
    <t xml:space="preserve">Nov 2024</t>
  </si>
  <si>
    <t xml:space="preserve">Dec 2024</t>
  </si>
  <si>
    <t xml:space="preserve">TOTAL</t>
  </si>
  <si>
    <t xml:space="preserve">SALES BY REGION — 2024</t>
  </si>
  <si>
    <t xml:space="preserve">Total Orders</t>
  </si>
  <si>
    <t xml:space="preserve">Top City</t>
  </si>
  <si>
    <t xml:space="preserve">TOP 10 PRODUCTS BY REVENUE — 2024</t>
  </si>
  <si>
    <t xml:space="preserve">Rank</t>
  </si>
  <si>
    <t xml:space="preserve">Product Name</t>
  </si>
  <si>
    <t xml:space="preserve">Category</t>
  </si>
  <si>
    <t xml:space="preserve">Units Sold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</si>
</sst>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m\-yyyy"/>
    <numFmt numFmtId="166" formatCode="#,##0"/>
    <numFmt numFmtId="167" formatCode="0%"/>
    <numFmt numFmtId="168" formatCode="0.0%"/>
    <numFmt numFmtId="169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5"/>
      <color rgb="FF2E75B6"/>
      <name val="Arial"/>
      <family val="0"/>
      <charset val="1"/>
    </font>
    <font>
      <b val="true"/>
      <sz val="15"/>
      <color rgb="FF70AD47"/>
      <name val="Arial"/>
      <family val="0"/>
      <charset val="1"/>
    </font>
    <font>
      <b val="true"/>
      <sz val="15"/>
      <color rgb="FFED7D31"/>
      <name val="Arial"/>
      <family val="0"/>
      <charset val="1"/>
    </font>
    <font>
      <b val="true"/>
      <sz val="15"/>
      <color rgb="FF9E480E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0"/>
      <color rgb="FF0F6E56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00000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70AD47"/>
        <bgColor rgb="FF878787"/>
      </patternFill>
    </fill>
    <fill>
      <patternFill patternType="solid">
        <fgColor rgb="FFED7D31"/>
        <bgColor rgb="FFCD7F32"/>
      </patternFill>
    </fill>
    <fill>
      <patternFill patternType="solid">
        <fgColor rgb="FF9E480E"/>
        <bgColor rgb="FF993366"/>
      </patternFill>
    </fill>
    <fill>
      <patternFill patternType="solid">
        <fgColor rgb="FFEBF3FB"/>
        <bgColor rgb="FFF9F9F9"/>
      </patternFill>
    </fill>
    <fill>
      <patternFill patternType="solid">
        <fgColor rgb="FFE2EFDA"/>
        <bgColor rgb="FFEBF3FB"/>
      </patternFill>
    </fill>
    <fill>
      <patternFill patternType="solid">
        <fgColor rgb="FFFFFFFF"/>
        <bgColor rgb="FFF9F9F9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D700"/>
        <bgColor rgb="FFFFC000"/>
      </patternFill>
    </fill>
    <fill>
      <patternFill patternType="solid">
        <fgColor rgb="FFC0C0C0"/>
        <bgColor rgb="FFBFBFBF"/>
      </patternFill>
    </fill>
    <fill>
      <patternFill patternType="solid">
        <fgColor rgb="FFCD7F32"/>
        <bgColor rgb="FFED7D3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6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0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0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0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C0C0C0"/>
      <rgbColor rgb="FF878787"/>
      <rgbColor rgb="FF9999FF"/>
      <rgbColor rgb="FF993366"/>
      <rgbColor rgb="FFFFF2CC"/>
      <rgbColor rgb="FFEBF3FB"/>
      <rgbColor rgb="FF660066"/>
      <rgbColor rgb="FFCD7F32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E2EFDA"/>
      <rgbColor rgb="FFFFFF99"/>
      <rgbColor rgb="FFBFBFBF"/>
      <rgbColor rgb="FFFF99CC"/>
      <rgbColor rgb="FFCC99FF"/>
      <rgbColor rgb="FFFCE4D6"/>
      <rgbColor rgb="FF2E75B6"/>
      <rgbColor rgb="FF33CCCC"/>
      <rgbColor rgb="FF99CC00"/>
      <rgbColor rgb="FFFFD700"/>
      <rgbColor rgb="FFFFC000"/>
      <rgbColor rgb="FFED7D31"/>
      <rgbColor rgb="FF666699"/>
      <rgbColor rgb="FF70AD47"/>
      <rgbColor rgb="FF003366"/>
      <rgbColor rgb="FF339966"/>
      <rgbColor rgb="FF003300"/>
      <rgbColor rgb="FF333300"/>
      <rgbColor rgb="FF9E480E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vs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Monthly_Summary!C2</c:f>
              <c:strCache>
                <c:ptCount val="1"/>
                <c:pt idx="0">
                  <c:v>Total Sales (PKR)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Monthly_Summary!$A$3:$A$14</c:f>
              <c:strCache>
                <c:ptCount val="12"/>
                <c:pt idx="0">
                  <c:v>Jan 2024</c:v>
                </c:pt>
                <c:pt idx="1">
                  <c:v>Feb 2024</c:v>
                </c:pt>
                <c:pt idx="2">
                  <c:v>Mar 2024</c:v>
                </c:pt>
                <c:pt idx="3">
                  <c:v>Apr 2024</c:v>
                </c:pt>
                <c:pt idx="4">
                  <c:v>May 2024</c:v>
                </c:pt>
                <c:pt idx="5">
                  <c:v>Jun 2024</c:v>
                </c:pt>
                <c:pt idx="6">
                  <c:v>Jul 2024</c:v>
                </c:pt>
                <c:pt idx="7">
                  <c:v>Aug 2024</c:v>
                </c:pt>
                <c:pt idx="8">
                  <c:v>Sep 2024</c:v>
                </c:pt>
                <c:pt idx="9">
                  <c:v>Oct 2024</c:v>
                </c:pt>
                <c:pt idx="10">
                  <c:v>Nov 2024</c:v>
                </c:pt>
                <c:pt idx="11">
                  <c:v>Dec 2024</c:v>
                </c:pt>
              </c:strCache>
            </c:strRef>
          </c:cat>
          <c:val>
            <c:numRef>
              <c:f>Monthly_Summary!$C$3:$C$14</c:f>
              <c:numCache>
                <c:formatCode>#,##0</c:formatCode>
                <c:ptCount val="12"/>
                <c:pt idx="0">
                  <c:v>561950</c:v>
                </c:pt>
                <c:pt idx="1">
                  <c:v>435530</c:v>
                </c:pt>
                <c:pt idx="2">
                  <c:v>610125</c:v>
                </c:pt>
                <c:pt idx="3">
                  <c:v>600230</c:v>
                </c:pt>
                <c:pt idx="4">
                  <c:v>425550</c:v>
                </c:pt>
                <c:pt idx="5">
                  <c:v>447400</c:v>
                </c:pt>
                <c:pt idx="6">
                  <c:v>696300</c:v>
                </c:pt>
                <c:pt idx="7">
                  <c:v>568650</c:v>
                </c:pt>
                <c:pt idx="8">
                  <c:v>617120</c:v>
                </c:pt>
                <c:pt idx="9">
                  <c:v>778040</c:v>
                </c:pt>
                <c:pt idx="10">
                  <c:v>728890</c:v>
                </c:pt>
                <c:pt idx="11">
                  <c:v>1388550</c:v>
                </c:pt>
              </c:numCache>
            </c:numRef>
          </c:val>
        </c:ser>
        <c:ser>
          <c:idx val="1"/>
          <c:order val="1"/>
          <c:tx>
            <c:strRef>
              <c:f>Monthly_Summary!E2</c:f>
              <c:strCache>
                <c:ptCount val="1"/>
                <c:pt idx="0">
                  <c:v>Total Profit (PKR)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Monthly_Summary!$A$3:$A$14</c:f>
              <c:strCache>
                <c:ptCount val="12"/>
                <c:pt idx="0">
                  <c:v>Jan 2024</c:v>
                </c:pt>
                <c:pt idx="1">
                  <c:v>Feb 2024</c:v>
                </c:pt>
                <c:pt idx="2">
                  <c:v>Mar 2024</c:v>
                </c:pt>
                <c:pt idx="3">
                  <c:v>Apr 2024</c:v>
                </c:pt>
                <c:pt idx="4">
                  <c:v>May 2024</c:v>
                </c:pt>
                <c:pt idx="5">
                  <c:v>Jun 2024</c:v>
                </c:pt>
                <c:pt idx="6">
                  <c:v>Jul 2024</c:v>
                </c:pt>
                <c:pt idx="7">
                  <c:v>Aug 2024</c:v>
                </c:pt>
                <c:pt idx="8">
                  <c:v>Sep 2024</c:v>
                </c:pt>
                <c:pt idx="9">
                  <c:v>Oct 2024</c:v>
                </c:pt>
                <c:pt idx="10">
                  <c:v>Nov 2024</c:v>
                </c:pt>
                <c:pt idx="11">
                  <c:v>Dec 2024</c:v>
                </c:pt>
              </c:strCache>
            </c:strRef>
          </c:cat>
          <c:val>
            <c:numRef>
              <c:f>Monthly_Summary!$E$3:$E$14</c:f>
              <c:numCache>
                <c:formatCode>#,##0</c:formatCode>
                <c:ptCount val="12"/>
                <c:pt idx="0">
                  <c:v>172950</c:v>
                </c:pt>
                <c:pt idx="1">
                  <c:v>119530</c:v>
                </c:pt>
                <c:pt idx="2">
                  <c:v>155125</c:v>
                </c:pt>
                <c:pt idx="3">
                  <c:v>147730</c:v>
                </c:pt>
                <c:pt idx="4">
                  <c:v>102550</c:v>
                </c:pt>
                <c:pt idx="5">
                  <c:v>120900</c:v>
                </c:pt>
                <c:pt idx="6">
                  <c:v>173100</c:v>
                </c:pt>
                <c:pt idx="7">
                  <c:v>137150</c:v>
                </c:pt>
                <c:pt idx="8">
                  <c:v>158820</c:v>
                </c:pt>
                <c:pt idx="9">
                  <c:v>182840</c:v>
                </c:pt>
                <c:pt idx="10">
                  <c:v>167890</c:v>
                </c:pt>
                <c:pt idx="11">
                  <c:v>338550</c:v>
                </c:pt>
              </c:numCache>
            </c:numRef>
          </c:val>
        </c:ser>
        <c:gapWidth val="150"/>
        <c:overlap val="0"/>
        <c:axId val="79157333"/>
        <c:axId val="11086473"/>
      </c:barChart>
      <c:catAx>
        <c:axId val="791573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086473"/>
        <c:crosses val="autoZero"/>
        <c:auto val="1"/>
        <c:lblAlgn val="ctr"/>
        <c:lblOffset val="100"/>
        <c:noMultiLvlLbl val="0"/>
      </c:catAx>
      <c:valAx>
        <c:axId val="110864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(PKR)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1573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17</xdr:col>
      <xdr:colOff>364680</xdr:colOff>
      <xdr:row>22</xdr:row>
      <xdr:rowOff>128520</xdr:rowOff>
    </xdr:to>
    <xdr:graphicFrame>
      <xdr:nvGraphicFramePr>
        <xdr:cNvPr id="0" name="Chart 1"/>
        <xdr:cNvGraphicFramePr/>
      </xdr:nvGraphicFramePr>
      <xdr:xfrm>
        <a:off x="7660080" y="24768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J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4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5" hidden="false" customHeight="true" outlineLevel="0" collapsed="false"/>
    <row r="4" customFormat="false" ht="27.75" hidden="false" customHeight="true" outlineLevel="0" collapsed="false">
      <c r="A4" s="2" t="s">
        <v>1</v>
      </c>
      <c r="B4" s="2"/>
      <c r="C4" s="3" t="s">
        <v>2</v>
      </c>
      <c r="D4" s="3"/>
      <c r="E4" s="4" t="s">
        <v>3</v>
      </c>
      <c r="F4" s="4"/>
      <c r="G4" s="5" t="s">
        <v>4</v>
      </c>
      <c r="H4" s="5"/>
    </row>
    <row r="5" customFormat="false" ht="36" hidden="false" customHeight="true" outlineLevel="0" collapsed="false">
      <c r="A5" s="6" t="s">
        <v>5</v>
      </c>
      <c r="B5" s="6"/>
      <c r="C5" s="7" t="s">
        <v>6</v>
      </c>
      <c r="D5" s="7"/>
      <c r="E5" s="8" t="s">
        <v>7</v>
      </c>
      <c r="F5" s="8"/>
      <c r="G5" s="9" t="s">
        <v>8</v>
      </c>
      <c r="H5" s="9"/>
    </row>
    <row r="6" customFormat="false" ht="15" hidden="false" customHeight="true" outlineLevel="0" collapsed="false"/>
    <row r="8" customFormat="false" ht="15" hidden="false" customHeight="false" outlineLevel="0" collapsed="false">
      <c r="A8" s="10" t="s">
        <v>9</v>
      </c>
      <c r="B8" s="10"/>
      <c r="C8" s="10"/>
      <c r="D8" s="10"/>
      <c r="E8" s="10"/>
      <c r="F8" s="10"/>
      <c r="G8" s="10"/>
      <c r="H8" s="10"/>
      <c r="I8" s="10"/>
      <c r="J8" s="10"/>
    </row>
    <row r="10" customFormat="false" ht="18" hidden="false" customHeight="true" outlineLevel="0" collapsed="false">
      <c r="A10" s="11" t="s">
        <v>10</v>
      </c>
      <c r="B10" s="11"/>
      <c r="C10" s="11"/>
      <c r="D10" s="11"/>
      <c r="E10" s="11"/>
      <c r="F10" s="11"/>
      <c r="G10" s="11"/>
      <c r="H10" s="11"/>
      <c r="I10" s="11"/>
      <c r="J10" s="11"/>
    </row>
    <row r="11" customFormat="false" ht="18" hidden="false" customHeight="true" outlineLevel="0" collapsed="false">
      <c r="A11" s="12" t="s">
        <v>11</v>
      </c>
      <c r="B11" s="12"/>
      <c r="C11" s="12"/>
      <c r="D11" s="12"/>
      <c r="E11" s="12"/>
      <c r="F11" s="12"/>
      <c r="G11" s="12"/>
      <c r="H11" s="12"/>
      <c r="I11" s="12"/>
      <c r="J11" s="12"/>
    </row>
    <row r="12" customFormat="false" ht="18" hidden="false" customHeight="true" outlineLevel="0" collapsed="false">
      <c r="A12" s="11" t="s">
        <v>12</v>
      </c>
      <c r="B12" s="11"/>
      <c r="C12" s="11"/>
      <c r="D12" s="11"/>
      <c r="E12" s="11"/>
      <c r="F12" s="11"/>
      <c r="G12" s="11"/>
      <c r="H12" s="11"/>
      <c r="I12" s="11"/>
      <c r="J12" s="11"/>
    </row>
    <row r="13" customFormat="false" ht="18" hidden="false" customHeight="true" outlineLevel="0" collapsed="false">
      <c r="A13" s="12" t="s">
        <v>13</v>
      </c>
      <c r="B13" s="12"/>
      <c r="C13" s="12"/>
      <c r="D13" s="12"/>
      <c r="E13" s="12"/>
      <c r="F13" s="12"/>
      <c r="G13" s="12"/>
      <c r="H13" s="12"/>
      <c r="I13" s="12"/>
      <c r="J13" s="12"/>
    </row>
    <row r="14" customFormat="false" ht="18" hidden="false" customHeight="true" outlineLevel="0" collapsed="false">
      <c r="A14" s="11" t="s">
        <v>14</v>
      </c>
      <c r="B14" s="11"/>
      <c r="C14" s="11"/>
      <c r="D14" s="11"/>
      <c r="E14" s="11"/>
      <c r="F14" s="11"/>
      <c r="G14" s="11"/>
      <c r="H14" s="11"/>
      <c r="I14" s="11"/>
      <c r="J14" s="11"/>
    </row>
  </sheetData>
  <mergeCells count="15">
    <mergeCell ref="A1:J1"/>
    <mergeCell ref="A4:B4"/>
    <mergeCell ref="C4:D4"/>
    <mergeCell ref="E4:F4"/>
    <mergeCell ref="G4:H4"/>
    <mergeCell ref="A5:B5"/>
    <mergeCell ref="C5:D5"/>
    <mergeCell ref="E5:F5"/>
    <mergeCell ref="G5:H5"/>
    <mergeCell ref="A8:J8"/>
    <mergeCell ref="A10:J10"/>
    <mergeCell ref="A11:J11"/>
    <mergeCell ref="A12:J12"/>
    <mergeCell ref="A13:J13"/>
    <mergeCell ref="A14:J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N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4" min="12" style="0" width="12"/>
  </cols>
  <sheetData>
    <row r="1" customFormat="false" ht="30" hidden="false" customHeight="true" outlineLevel="0" collapsed="false">
      <c r="A1" s="13" t="s">
        <v>15</v>
      </c>
      <c r="B1" s="13" t="s">
        <v>16</v>
      </c>
      <c r="C1" s="13" t="s">
        <v>17</v>
      </c>
      <c r="D1" s="13" t="s">
        <v>18</v>
      </c>
      <c r="E1" s="13" t="s">
        <v>19</v>
      </c>
      <c r="F1" s="13" t="s">
        <v>20</v>
      </c>
      <c r="G1" s="13" t="s">
        <v>21</v>
      </c>
      <c r="H1" s="13" t="s">
        <v>22</v>
      </c>
      <c r="I1" s="13" t="s">
        <v>23</v>
      </c>
      <c r="J1" s="13" t="s">
        <v>24</v>
      </c>
      <c r="K1" s="13" t="s">
        <v>25</v>
      </c>
      <c r="L1" s="13" t="s">
        <v>26</v>
      </c>
      <c r="M1" s="13" t="s">
        <v>27</v>
      </c>
      <c r="N1" s="13" t="s">
        <v>28</v>
      </c>
    </row>
    <row r="2" customFormat="false" ht="15" hidden="false" customHeight="false" outlineLevel="0" collapsed="false">
      <c r="A2" s="14" t="n">
        <v>1001</v>
      </c>
      <c r="B2" s="15" t="s">
        <v>29</v>
      </c>
      <c r="C2" s="16" t="s">
        <v>30</v>
      </c>
      <c r="D2" s="16" t="s">
        <v>31</v>
      </c>
      <c r="E2" s="16" t="s">
        <v>32</v>
      </c>
      <c r="F2" s="16" t="s">
        <v>33</v>
      </c>
      <c r="G2" s="16" t="s">
        <v>34</v>
      </c>
      <c r="H2" s="16" t="s">
        <v>35</v>
      </c>
      <c r="I2" s="14" t="n">
        <v>2</v>
      </c>
      <c r="J2" s="17" t="n">
        <v>85000</v>
      </c>
      <c r="K2" s="18" t="n">
        <v>0.05</v>
      </c>
      <c r="L2" s="19" t="n">
        <v>161500</v>
      </c>
      <c r="M2" s="19" t="n">
        <v>120000</v>
      </c>
      <c r="N2" s="19" t="n">
        <v>41500</v>
      </c>
    </row>
    <row r="3" customFormat="false" ht="15" hidden="false" customHeight="false" outlineLevel="0" collapsed="false">
      <c r="A3" s="20" t="n">
        <v>1002</v>
      </c>
      <c r="B3" s="21" t="s">
        <v>36</v>
      </c>
      <c r="C3" s="22" t="s">
        <v>37</v>
      </c>
      <c r="D3" s="22" t="s">
        <v>38</v>
      </c>
      <c r="E3" s="22" t="s">
        <v>39</v>
      </c>
      <c r="F3" s="22" t="s">
        <v>40</v>
      </c>
      <c r="G3" s="22" t="s">
        <v>41</v>
      </c>
      <c r="H3" s="22" t="s">
        <v>42</v>
      </c>
      <c r="I3" s="20" t="n">
        <v>4</v>
      </c>
      <c r="J3" s="23" t="n">
        <v>12000</v>
      </c>
      <c r="K3" s="24" t="n">
        <v>0.1</v>
      </c>
      <c r="L3" s="25" t="n">
        <v>43200</v>
      </c>
      <c r="M3" s="25" t="n">
        <v>28000</v>
      </c>
      <c r="N3" s="25" t="n">
        <v>15200</v>
      </c>
    </row>
    <row r="4" customFormat="false" ht="15" hidden="false" customHeight="false" outlineLevel="0" collapsed="false">
      <c r="A4" s="14" t="n">
        <v>1003</v>
      </c>
      <c r="B4" s="15" t="s">
        <v>43</v>
      </c>
      <c r="C4" s="16" t="s">
        <v>44</v>
      </c>
      <c r="D4" s="16" t="s">
        <v>45</v>
      </c>
      <c r="E4" s="16" t="s">
        <v>46</v>
      </c>
      <c r="F4" s="16" t="s">
        <v>47</v>
      </c>
      <c r="G4" s="16" t="s">
        <v>48</v>
      </c>
      <c r="H4" s="16" t="s">
        <v>49</v>
      </c>
      <c r="I4" s="14" t="n">
        <v>10</v>
      </c>
      <c r="J4" s="17" t="n">
        <v>800</v>
      </c>
      <c r="K4" s="18" t="n">
        <v>0</v>
      </c>
      <c r="L4" s="19" t="n">
        <v>8000</v>
      </c>
      <c r="M4" s="19" t="n">
        <v>4500</v>
      </c>
      <c r="N4" s="19" t="n">
        <v>3500</v>
      </c>
    </row>
    <row r="5" customFormat="false" ht="15" hidden="false" customHeight="false" outlineLevel="0" collapsed="false">
      <c r="A5" s="20" t="n">
        <v>1004</v>
      </c>
      <c r="B5" s="21" t="s">
        <v>50</v>
      </c>
      <c r="C5" s="22" t="s">
        <v>51</v>
      </c>
      <c r="D5" s="22" t="s">
        <v>38</v>
      </c>
      <c r="E5" s="22" t="s">
        <v>52</v>
      </c>
      <c r="F5" s="22" t="s">
        <v>53</v>
      </c>
      <c r="G5" s="22" t="s">
        <v>34</v>
      </c>
      <c r="H5" s="22" t="s">
        <v>54</v>
      </c>
      <c r="I5" s="20" t="n">
        <v>6</v>
      </c>
      <c r="J5" s="23" t="n">
        <v>3500</v>
      </c>
      <c r="K5" s="24" t="n">
        <v>0.05</v>
      </c>
      <c r="L5" s="25" t="n">
        <v>19950</v>
      </c>
      <c r="M5" s="25" t="n">
        <v>12000</v>
      </c>
      <c r="N5" s="25" t="n">
        <v>7950</v>
      </c>
    </row>
    <row r="6" customFormat="false" ht="15" hidden="false" customHeight="false" outlineLevel="0" collapsed="false">
      <c r="A6" s="14" t="n">
        <v>1005</v>
      </c>
      <c r="B6" s="15" t="s">
        <v>55</v>
      </c>
      <c r="C6" s="16" t="s">
        <v>56</v>
      </c>
      <c r="D6" s="16" t="s">
        <v>31</v>
      </c>
      <c r="E6" s="16" t="s">
        <v>32</v>
      </c>
      <c r="F6" s="16" t="s">
        <v>33</v>
      </c>
      <c r="G6" s="16" t="s">
        <v>41</v>
      </c>
      <c r="H6" s="16" t="s">
        <v>57</v>
      </c>
      <c r="I6" s="14" t="n">
        <v>1</v>
      </c>
      <c r="J6" s="17" t="n">
        <v>45000</v>
      </c>
      <c r="K6" s="18" t="n">
        <v>0.08</v>
      </c>
      <c r="L6" s="19" t="n">
        <v>41400</v>
      </c>
      <c r="M6" s="19" t="n">
        <v>30000</v>
      </c>
      <c r="N6" s="19" t="n">
        <v>11400</v>
      </c>
    </row>
    <row r="7" customFormat="false" ht="15" hidden="false" customHeight="false" outlineLevel="0" collapsed="false">
      <c r="A7" s="20" t="n">
        <v>1006</v>
      </c>
      <c r="B7" s="21" t="s">
        <v>58</v>
      </c>
      <c r="C7" s="22" t="s">
        <v>59</v>
      </c>
      <c r="D7" s="22" t="s">
        <v>38</v>
      </c>
      <c r="E7" s="22" t="s">
        <v>39</v>
      </c>
      <c r="F7" s="22" t="s">
        <v>40</v>
      </c>
      <c r="G7" s="22" t="s">
        <v>48</v>
      </c>
      <c r="H7" s="22" t="s">
        <v>60</v>
      </c>
      <c r="I7" s="20" t="n">
        <v>20</v>
      </c>
      <c r="J7" s="23" t="n">
        <v>500</v>
      </c>
      <c r="K7" s="24" t="n">
        <v>0</v>
      </c>
      <c r="L7" s="25" t="n">
        <v>10000</v>
      </c>
      <c r="M7" s="25" t="n">
        <v>5500</v>
      </c>
      <c r="N7" s="25" t="n">
        <v>4500</v>
      </c>
    </row>
    <row r="8" customFormat="false" ht="15" hidden="false" customHeight="false" outlineLevel="0" collapsed="false">
      <c r="A8" s="14" t="n">
        <v>1007</v>
      </c>
      <c r="B8" s="15" t="s">
        <v>61</v>
      </c>
      <c r="C8" s="16" t="s">
        <v>62</v>
      </c>
      <c r="D8" s="16" t="s">
        <v>45</v>
      </c>
      <c r="E8" s="16" t="s">
        <v>32</v>
      </c>
      <c r="F8" s="16" t="s">
        <v>63</v>
      </c>
      <c r="G8" s="16" t="s">
        <v>34</v>
      </c>
      <c r="H8" s="16" t="s">
        <v>64</v>
      </c>
      <c r="I8" s="14" t="n">
        <v>3</v>
      </c>
      <c r="J8" s="17" t="n">
        <v>55000</v>
      </c>
      <c r="K8" s="18" t="n">
        <v>0.1</v>
      </c>
      <c r="L8" s="19" t="n">
        <v>148500</v>
      </c>
      <c r="M8" s="19" t="n">
        <v>108000</v>
      </c>
      <c r="N8" s="19" t="n">
        <v>40500</v>
      </c>
    </row>
    <row r="9" customFormat="false" ht="15" hidden="false" customHeight="false" outlineLevel="0" collapsed="false">
      <c r="A9" s="20" t="n">
        <v>1008</v>
      </c>
      <c r="B9" s="21" t="s">
        <v>65</v>
      </c>
      <c r="C9" s="22" t="s">
        <v>66</v>
      </c>
      <c r="D9" s="22" t="s">
        <v>31</v>
      </c>
      <c r="E9" s="22" t="s">
        <v>46</v>
      </c>
      <c r="F9" s="22" t="s">
        <v>67</v>
      </c>
      <c r="G9" s="22" t="s">
        <v>41</v>
      </c>
      <c r="H9" s="22" t="s">
        <v>68</v>
      </c>
      <c r="I9" s="20" t="n">
        <v>1</v>
      </c>
      <c r="J9" s="23" t="n">
        <v>120000</v>
      </c>
      <c r="K9" s="24" t="n">
        <v>0.12</v>
      </c>
      <c r="L9" s="25" t="n">
        <v>105600</v>
      </c>
      <c r="M9" s="25" t="n">
        <v>80000</v>
      </c>
      <c r="N9" s="25" t="n">
        <v>25600</v>
      </c>
    </row>
    <row r="10" customFormat="false" ht="15" hidden="false" customHeight="false" outlineLevel="0" collapsed="false">
      <c r="A10" s="14" t="n">
        <v>1009</v>
      </c>
      <c r="B10" s="15" t="s">
        <v>69</v>
      </c>
      <c r="C10" s="16" t="s">
        <v>70</v>
      </c>
      <c r="D10" s="16" t="s">
        <v>38</v>
      </c>
      <c r="E10" s="16" t="s">
        <v>39</v>
      </c>
      <c r="F10" s="16" t="s">
        <v>40</v>
      </c>
      <c r="G10" s="16" t="s">
        <v>34</v>
      </c>
      <c r="H10" s="16" t="s">
        <v>71</v>
      </c>
      <c r="I10" s="14" t="n">
        <v>5</v>
      </c>
      <c r="J10" s="17" t="n">
        <v>42000</v>
      </c>
      <c r="K10" s="18" t="n">
        <v>0.05</v>
      </c>
      <c r="L10" s="19" t="n">
        <v>199500</v>
      </c>
      <c r="M10" s="19" t="n">
        <v>150000</v>
      </c>
      <c r="N10" s="19" t="n">
        <v>49500</v>
      </c>
    </row>
    <row r="11" customFormat="false" ht="15" hidden="false" customHeight="false" outlineLevel="0" collapsed="false">
      <c r="A11" s="20" t="n">
        <v>1010</v>
      </c>
      <c r="B11" s="21" t="s">
        <v>72</v>
      </c>
      <c r="C11" s="22" t="s">
        <v>73</v>
      </c>
      <c r="D11" s="22" t="s">
        <v>31</v>
      </c>
      <c r="E11" s="22" t="s">
        <v>52</v>
      </c>
      <c r="F11" s="22" t="s">
        <v>74</v>
      </c>
      <c r="G11" s="22" t="s">
        <v>48</v>
      </c>
      <c r="H11" s="22" t="s">
        <v>75</v>
      </c>
      <c r="I11" s="20" t="n">
        <v>30</v>
      </c>
      <c r="J11" s="23" t="n">
        <v>200</v>
      </c>
      <c r="K11" s="24" t="n">
        <v>0</v>
      </c>
      <c r="L11" s="25" t="n">
        <v>6000</v>
      </c>
      <c r="M11" s="25" t="n">
        <v>2500</v>
      </c>
      <c r="N11" s="25" t="n">
        <v>3500</v>
      </c>
    </row>
    <row r="12" customFormat="false" ht="15" hidden="false" customHeight="false" outlineLevel="0" collapsed="false">
      <c r="A12" s="14" t="n">
        <v>1011</v>
      </c>
      <c r="B12" s="15" t="s">
        <v>76</v>
      </c>
      <c r="C12" s="16" t="s">
        <v>30</v>
      </c>
      <c r="D12" s="16" t="s">
        <v>31</v>
      </c>
      <c r="E12" s="16" t="s">
        <v>32</v>
      </c>
      <c r="F12" s="16" t="s">
        <v>33</v>
      </c>
      <c r="G12" s="16" t="s">
        <v>48</v>
      </c>
      <c r="H12" s="16" t="s">
        <v>77</v>
      </c>
      <c r="I12" s="14" t="n">
        <v>50</v>
      </c>
      <c r="J12" s="17" t="n">
        <v>150</v>
      </c>
      <c r="K12" s="18" t="n">
        <v>0</v>
      </c>
      <c r="L12" s="19" t="n">
        <v>7500</v>
      </c>
      <c r="M12" s="19" t="n">
        <v>3000</v>
      </c>
      <c r="N12" s="19" t="n">
        <v>4500</v>
      </c>
    </row>
    <row r="13" customFormat="false" ht="15" hidden="false" customHeight="false" outlineLevel="0" collapsed="false">
      <c r="A13" s="20" t="n">
        <v>1012</v>
      </c>
      <c r="B13" s="21" t="s">
        <v>78</v>
      </c>
      <c r="C13" s="22" t="s">
        <v>79</v>
      </c>
      <c r="D13" s="22" t="s">
        <v>38</v>
      </c>
      <c r="E13" s="22" t="s">
        <v>39</v>
      </c>
      <c r="F13" s="22" t="s">
        <v>80</v>
      </c>
      <c r="G13" s="22" t="s">
        <v>34</v>
      </c>
      <c r="H13" s="22" t="s">
        <v>81</v>
      </c>
      <c r="I13" s="20" t="n">
        <v>8</v>
      </c>
      <c r="J13" s="23" t="n">
        <v>8500</v>
      </c>
      <c r="K13" s="24" t="n">
        <v>0.1</v>
      </c>
      <c r="L13" s="25" t="n">
        <v>61200</v>
      </c>
      <c r="M13" s="25" t="n">
        <v>40000</v>
      </c>
      <c r="N13" s="25" t="n">
        <v>21200</v>
      </c>
    </row>
    <row r="14" customFormat="false" ht="15" hidden="false" customHeight="false" outlineLevel="0" collapsed="false">
      <c r="A14" s="14" t="n">
        <v>1013</v>
      </c>
      <c r="B14" s="15" t="s">
        <v>82</v>
      </c>
      <c r="C14" s="16" t="s">
        <v>83</v>
      </c>
      <c r="D14" s="16" t="s">
        <v>45</v>
      </c>
      <c r="E14" s="16" t="s">
        <v>32</v>
      </c>
      <c r="F14" s="16" t="s">
        <v>84</v>
      </c>
      <c r="G14" s="16" t="s">
        <v>41</v>
      </c>
      <c r="H14" s="16" t="s">
        <v>85</v>
      </c>
      <c r="I14" s="14" t="n">
        <v>2</v>
      </c>
      <c r="J14" s="17" t="n">
        <v>18000</v>
      </c>
      <c r="K14" s="18" t="n">
        <v>0.05</v>
      </c>
      <c r="L14" s="19" t="n">
        <v>34200</v>
      </c>
      <c r="M14" s="19" t="n">
        <v>22000</v>
      </c>
      <c r="N14" s="19" t="n">
        <v>12200</v>
      </c>
    </row>
    <row r="15" customFormat="false" ht="15" hidden="false" customHeight="false" outlineLevel="0" collapsed="false">
      <c r="A15" s="20" t="n">
        <v>1014</v>
      </c>
      <c r="B15" s="21" t="s">
        <v>86</v>
      </c>
      <c r="C15" s="22" t="s">
        <v>87</v>
      </c>
      <c r="D15" s="22" t="s">
        <v>31</v>
      </c>
      <c r="E15" s="22" t="s">
        <v>46</v>
      </c>
      <c r="F15" s="22" t="s">
        <v>67</v>
      </c>
      <c r="G15" s="22" t="s">
        <v>34</v>
      </c>
      <c r="H15" s="22" t="s">
        <v>88</v>
      </c>
      <c r="I15" s="20" t="n">
        <v>7</v>
      </c>
      <c r="J15" s="23" t="n">
        <v>6500</v>
      </c>
      <c r="K15" s="24" t="n">
        <v>0.08</v>
      </c>
      <c r="L15" s="25" t="n">
        <v>41860</v>
      </c>
      <c r="M15" s="25" t="n">
        <v>28000</v>
      </c>
      <c r="N15" s="25" t="n">
        <v>13860</v>
      </c>
    </row>
    <row r="16" customFormat="false" ht="15" hidden="false" customHeight="false" outlineLevel="0" collapsed="false">
      <c r="A16" s="14" t="n">
        <v>1015</v>
      </c>
      <c r="B16" s="15" t="s">
        <v>89</v>
      </c>
      <c r="C16" s="16" t="s">
        <v>90</v>
      </c>
      <c r="D16" s="16" t="s">
        <v>38</v>
      </c>
      <c r="E16" s="16" t="s">
        <v>52</v>
      </c>
      <c r="F16" s="16" t="s">
        <v>53</v>
      </c>
      <c r="G16" s="16" t="s">
        <v>41</v>
      </c>
      <c r="H16" s="16" t="s">
        <v>91</v>
      </c>
      <c r="I16" s="14" t="n">
        <v>1</v>
      </c>
      <c r="J16" s="17" t="n">
        <v>95000</v>
      </c>
      <c r="K16" s="18" t="n">
        <v>0.1</v>
      </c>
      <c r="L16" s="19" t="n">
        <v>85500</v>
      </c>
      <c r="M16" s="19" t="n">
        <v>65000</v>
      </c>
      <c r="N16" s="19" t="n">
        <v>20500</v>
      </c>
    </row>
    <row r="17" customFormat="false" ht="15" hidden="false" customHeight="false" outlineLevel="0" collapsed="false">
      <c r="A17" s="20" t="n">
        <v>1016</v>
      </c>
      <c r="B17" s="21" t="s">
        <v>92</v>
      </c>
      <c r="C17" s="22" t="s">
        <v>93</v>
      </c>
      <c r="D17" s="22" t="s">
        <v>45</v>
      </c>
      <c r="E17" s="22" t="s">
        <v>32</v>
      </c>
      <c r="F17" s="22" t="s">
        <v>63</v>
      </c>
      <c r="G17" s="22" t="s">
        <v>48</v>
      </c>
      <c r="H17" s="22" t="s">
        <v>94</v>
      </c>
      <c r="I17" s="20" t="n">
        <v>40</v>
      </c>
      <c r="J17" s="23" t="n">
        <v>120</v>
      </c>
      <c r="K17" s="24" t="n">
        <v>0</v>
      </c>
      <c r="L17" s="25" t="n">
        <v>4800</v>
      </c>
      <c r="M17" s="25" t="n">
        <v>2000</v>
      </c>
      <c r="N17" s="25" t="n">
        <v>2800</v>
      </c>
    </row>
    <row r="18" customFormat="false" ht="15" hidden="false" customHeight="false" outlineLevel="0" collapsed="false">
      <c r="A18" s="14" t="n">
        <v>1017</v>
      </c>
      <c r="B18" s="15" t="s">
        <v>95</v>
      </c>
      <c r="C18" s="16" t="s">
        <v>96</v>
      </c>
      <c r="D18" s="16" t="s">
        <v>38</v>
      </c>
      <c r="E18" s="16" t="s">
        <v>39</v>
      </c>
      <c r="F18" s="16" t="s">
        <v>40</v>
      </c>
      <c r="G18" s="16" t="s">
        <v>34</v>
      </c>
      <c r="H18" s="16" t="s">
        <v>97</v>
      </c>
      <c r="I18" s="14" t="n">
        <v>4</v>
      </c>
      <c r="J18" s="17" t="n">
        <v>25000</v>
      </c>
      <c r="K18" s="18" t="n">
        <v>0.05</v>
      </c>
      <c r="L18" s="19" t="n">
        <v>95000</v>
      </c>
      <c r="M18" s="19" t="n">
        <v>72000</v>
      </c>
      <c r="N18" s="19" t="n">
        <v>23000</v>
      </c>
    </row>
    <row r="19" customFormat="false" ht="15" hidden="false" customHeight="false" outlineLevel="0" collapsed="false">
      <c r="A19" s="20" t="n">
        <v>1018</v>
      </c>
      <c r="B19" s="21" t="s">
        <v>98</v>
      </c>
      <c r="C19" s="22" t="s">
        <v>99</v>
      </c>
      <c r="D19" s="22" t="s">
        <v>31</v>
      </c>
      <c r="E19" s="22" t="s">
        <v>32</v>
      </c>
      <c r="F19" s="22" t="s">
        <v>33</v>
      </c>
      <c r="G19" s="22" t="s">
        <v>41</v>
      </c>
      <c r="H19" s="22" t="s">
        <v>100</v>
      </c>
      <c r="I19" s="20" t="n">
        <v>3</v>
      </c>
      <c r="J19" s="23" t="n">
        <v>32000</v>
      </c>
      <c r="K19" s="24" t="n">
        <v>0.08</v>
      </c>
      <c r="L19" s="25" t="n">
        <v>88320</v>
      </c>
      <c r="M19" s="25" t="n">
        <v>66000</v>
      </c>
      <c r="N19" s="25" t="n">
        <v>22320</v>
      </c>
    </row>
    <row r="20" customFormat="false" ht="15" hidden="false" customHeight="false" outlineLevel="0" collapsed="false">
      <c r="A20" s="14" t="n">
        <v>1019</v>
      </c>
      <c r="B20" s="15" t="s">
        <v>101</v>
      </c>
      <c r="C20" s="16" t="s">
        <v>102</v>
      </c>
      <c r="D20" s="16" t="s">
        <v>38</v>
      </c>
      <c r="E20" s="16" t="s">
        <v>46</v>
      </c>
      <c r="F20" s="16" t="s">
        <v>103</v>
      </c>
      <c r="G20" s="16" t="s">
        <v>48</v>
      </c>
      <c r="H20" s="16" t="s">
        <v>104</v>
      </c>
      <c r="I20" s="14" t="n">
        <v>15</v>
      </c>
      <c r="J20" s="17" t="n">
        <v>600</v>
      </c>
      <c r="K20" s="18" t="n">
        <v>0</v>
      </c>
      <c r="L20" s="19" t="n">
        <v>9000</v>
      </c>
      <c r="M20" s="19" t="n">
        <v>4000</v>
      </c>
      <c r="N20" s="19" t="n">
        <v>5000</v>
      </c>
    </row>
    <row r="21" customFormat="false" ht="15" hidden="false" customHeight="false" outlineLevel="0" collapsed="false">
      <c r="A21" s="20" t="n">
        <v>1020</v>
      </c>
      <c r="B21" s="21" t="s">
        <v>105</v>
      </c>
      <c r="C21" s="22" t="s">
        <v>106</v>
      </c>
      <c r="D21" s="22" t="s">
        <v>45</v>
      </c>
      <c r="E21" s="22" t="s">
        <v>52</v>
      </c>
      <c r="F21" s="22" t="s">
        <v>74</v>
      </c>
      <c r="G21" s="22" t="s">
        <v>34</v>
      </c>
      <c r="H21" s="22" t="s">
        <v>107</v>
      </c>
      <c r="I21" s="20" t="n">
        <v>6</v>
      </c>
      <c r="J21" s="23" t="n">
        <v>9500</v>
      </c>
      <c r="K21" s="24" t="n">
        <v>0.05</v>
      </c>
      <c r="L21" s="25" t="n">
        <v>54150</v>
      </c>
      <c r="M21" s="25" t="n">
        <v>36000</v>
      </c>
      <c r="N21" s="25" t="n">
        <v>18150</v>
      </c>
    </row>
    <row r="22" customFormat="false" ht="15" hidden="false" customHeight="false" outlineLevel="0" collapsed="false">
      <c r="A22" s="14" t="n">
        <v>1021</v>
      </c>
      <c r="B22" s="15" t="s">
        <v>108</v>
      </c>
      <c r="C22" s="16" t="s">
        <v>44</v>
      </c>
      <c r="D22" s="16" t="s">
        <v>45</v>
      </c>
      <c r="E22" s="16" t="s">
        <v>46</v>
      </c>
      <c r="F22" s="16" t="s">
        <v>47</v>
      </c>
      <c r="G22" s="16" t="s">
        <v>34</v>
      </c>
      <c r="H22" s="16" t="s">
        <v>109</v>
      </c>
      <c r="I22" s="14" t="n">
        <v>12</v>
      </c>
      <c r="J22" s="17" t="n">
        <v>2800</v>
      </c>
      <c r="K22" s="18" t="n">
        <v>0</v>
      </c>
      <c r="L22" s="19" t="n">
        <v>33600</v>
      </c>
      <c r="M22" s="19" t="n">
        <v>18000</v>
      </c>
      <c r="N22" s="19" t="n">
        <v>15600</v>
      </c>
    </row>
    <row r="23" customFormat="false" ht="15" hidden="false" customHeight="false" outlineLevel="0" collapsed="false">
      <c r="A23" s="20" t="n">
        <v>1022</v>
      </c>
      <c r="B23" s="21" t="s">
        <v>110</v>
      </c>
      <c r="C23" s="22" t="s">
        <v>111</v>
      </c>
      <c r="D23" s="22" t="s">
        <v>31</v>
      </c>
      <c r="E23" s="22" t="s">
        <v>39</v>
      </c>
      <c r="F23" s="22" t="s">
        <v>40</v>
      </c>
      <c r="G23" s="22" t="s">
        <v>41</v>
      </c>
      <c r="H23" s="22" t="s">
        <v>112</v>
      </c>
      <c r="I23" s="20" t="n">
        <v>1</v>
      </c>
      <c r="J23" s="23" t="n">
        <v>150000</v>
      </c>
      <c r="K23" s="24" t="n">
        <v>0.1</v>
      </c>
      <c r="L23" s="25" t="n">
        <v>135000</v>
      </c>
      <c r="M23" s="25" t="n">
        <v>100000</v>
      </c>
      <c r="N23" s="25" t="n">
        <v>35000</v>
      </c>
    </row>
    <row r="24" customFormat="false" ht="15" hidden="false" customHeight="false" outlineLevel="0" collapsed="false">
      <c r="A24" s="14" t="n">
        <v>1023</v>
      </c>
      <c r="B24" s="15" t="s">
        <v>113</v>
      </c>
      <c r="C24" s="16" t="s">
        <v>114</v>
      </c>
      <c r="D24" s="16" t="s">
        <v>38</v>
      </c>
      <c r="E24" s="16" t="s">
        <v>32</v>
      </c>
      <c r="F24" s="16" t="s">
        <v>115</v>
      </c>
      <c r="G24" s="16" t="s">
        <v>48</v>
      </c>
      <c r="H24" s="16" t="s">
        <v>116</v>
      </c>
      <c r="I24" s="14" t="n">
        <v>25</v>
      </c>
      <c r="J24" s="17" t="n">
        <v>180</v>
      </c>
      <c r="K24" s="18" t="n">
        <v>0</v>
      </c>
      <c r="L24" s="19" t="n">
        <v>4500</v>
      </c>
      <c r="M24" s="19" t="n">
        <v>2000</v>
      </c>
      <c r="N24" s="19" t="n">
        <v>2500</v>
      </c>
    </row>
    <row r="25" customFormat="false" ht="15" hidden="false" customHeight="false" outlineLevel="0" collapsed="false">
      <c r="A25" s="20" t="n">
        <v>1024</v>
      </c>
      <c r="B25" s="21" t="s">
        <v>117</v>
      </c>
      <c r="C25" s="22" t="s">
        <v>118</v>
      </c>
      <c r="D25" s="22" t="s">
        <v>45</v>
      </c>
      <c r="E25" s="22" t="s">
        <v>32</v>
      </c>
      <c r="F25" s="22" t="s">
        <v>33</v>
      </c>
      <c r="G25" s="22" t="s">
        <v>34</v>
      </c>
      <c r="H25" s="22" t="s">
        <v>119</v>
      </c>
      <c r="I25" s="20" t="n">
        <v>5</v>
      </c>
      <c r="J25" s="23" t="n">
        <v>18000</v>
      </c>
      <c r="K25" s="24" t="n">
        <v>0.05</v>
      </c>
      <c r="L25" s="25" t="n">
        <v>85500</v>
      </c>
      <c r="M25" s="25" t="n">
        <v>65000</v>
      </c>
      <c r="N25" s="25" t="n">
        <v>20500</v>
      </c>
    </row>
    <row r="26" customFormat="false" ht="15" hidden="false" customHeight="false" outlineLevel="0" collapsed="false">
      <c r="A26" s="14" t="n">
        <v>1025</v>
      </c>
      <c r="B26" s="15" t="s">
        <v>120</v>
      </c>
      <c r="C26" s="16" t="s">
        <v>121</v>
      </c>
      <c r="D26" s="16" t="s">
        <v>31</v>
      </c>
      <c r="E26" s="16" t="s">
        <v>39</v>
      </c>
      <c r="F26" s="16" t="s">
        <v>40</v>
      </c>
      <c r="G26" s="16" t="s">
        <v>34</v>
      </c>
      <c r="H26" s="16" t="s">
        <v>122</v>
      </c>
      <c r="I26" s="14" t="n">
        <v>2</v>
      </c>
      <c r="J26" s="17" t="n">
        <v>35000</v>
      </c>
      <c r="K26" s="18" t="n">
        <v>0.08</v>
      </c>
      <c r="L26" s="19" t="n">
        <v>64400</v>
      </c>
      <c r="M26" s="19" t="n">
        <v>48000</v>
      </c>
      <c r="N26" s="19" t="n">
        <v>16400</v>
      </c>
    </row>
    <row r="27" customFormat="false" ht="15" hidden="false" customHeight="false" outlineLevel="0" collapsed="false">
      <c r="A27" s="20" t="n">
        <v>1026</v>
      </c>
      <c r="B27" s="21" t="s">
        <v>123</v>
      </c>
      <c r="C27" s="22" t="s">
        <v>124</v>
      </c>
      <c r="D27" s="22" t="s">
        <v>38</v>
      </c>
      <c r="E27" s="22" t="s">
        <v>52</v>
      </c>
      <c r="F27" s="22" t="s">
        <v>53</v>
      </c>
      <c r="G27" s="22" t="s">
        <v>41</v>
      </c>
      <c r="H27" s="22" t="s">
        <v>125</v>
      </c>
      <c r="I27" s="20" t="n">
        <v>1</v>
      </c>
      <c r="J27" s="23" t="n">
        <v>75000</v>
      </c>
      <c r="K27" s="24" t="n">
        <v>0.12</v>
      </c>
      <c r="L27" s="25" t="n">
        <v>66000</v>
      </c>
      <c r="M27" s="25" t="n">
        <v>50000</v>
      </c>
      <c r="N27" s="25" t="n">
        <v>16000</v>
      </c>
    </row>
    <row r="28" customFormat="false" ht="15" hidden="false" customHeight="false" outlineLevel="0" collapsed="false">
      <c r="A28" s="14" t="n">
        <v>1027</v>
      </c>
      <c r="B28" s="15" t="s">
        <v>126</v>
      </c>
      <c r="C28" s="16" t="s">
        <v>127</v>
      </c>
      <c r="D28" s="16" t="s">
        <v>45</v>
      </c>
      <c r="E28" s="16" t="s">
        <v>46</v>
      </c>
      <c r="F28" s="16" t="s">
        <v>67</v>
      </c>
      <c r="G28" s="16" t="s">
        <v>48</v>
      </c>
      <c r="H28" s="16" t="s">
        <v>128</v>
      </c>
      <c r="I28" s="14" t="n">
        <v>18</v>
      </c>
      <c r="J28" s="17" t="n">
        <v>950</v>
      </c>
      <c r="K28" s="18" t="n">
        <v>0</v>
      </c>
      <c r="L28" s="19" t="n">
        <v>17100</v>
      </c>
      <c r="M28" s="19" t="n">
        <v>8000</v>
      </c>
      <c r="N28" s="19" t="n">
        <v>9100</v>
      </c>
    </row>
    <row r="29" customFormat="false" ht="15" hidden="false" customHeight="false" outlineLevel="0" collapsed="false">
      <c r="A29" s="20" t="n">
        <v>1028</v>
      </c>
      <c r="B29" s="21" t="s">
        <v>129</v>
      </c>
      <c r="C29" s="22" t="s">
        <v>130</v>
      </c>
      <c r="D29" s="22" t="s">
        <v>31</v>
      </c>
      <c r="E29" s="22" t="s">
        <v>32</v>
      </c>
      <c r="F29" s="22" t="s">
        <v>63</v>
      </c>
      <c r="G29" s="22" t="s">
        <v>34</v>
      </c>
      <c r="H29" s="22" t="s">
        <v>131</v>
      </c>
      <c r="I29" s="20" t="n">
        <v>1</v>
      </c>
      <c r="J29" s="23" t="n">
        <v>90000</v>
      </c>
      <c r="K29" s="24" t="n">
        <v>0.1</v>
      </c>
      <c r="L29" s="25" t="n">
        <v>81000</v>
      </c>
      <c r="M29" s="25" t="n">
        <v>60000</v>
      </c>
      <c r="N29" s="25" t="n">
        <v>21000</v>
      </c>
    </row>
    <row r="30" customFormat="false" ht="15" hidden="false" customHeight="false" outlineLevel="0" collapsed="false">
      <c r="A30" s="14" t="n">
        <v>1029</v>
      </c>
      <c r="B30" s="15" t="s">
        <v>132</v>
      </c>
      <c r="C30" s="16" t="s">
        <v>133</v>
      </c>
      <c r="D30" s="16" t="s">
        <v>38</v>
      </c>
      <c r="E30" s="16" t="s">
        <v>39</v>
      </c>
      <c r="F30" s="16" t="s">
        <v>80</v>
      </c>
      <c r="G30" s="16" t="s">
        <v>41</v>
      </c>
      <c r="H30" s="16" t="s">
        <v>134</v>
      </c>
      <c r="I30" s="14" t="n">
        <v>1</v>
      </c>
      <c r="J30" s="17" t="n">
        <v>110000</v>
      </c>
      <c r="K30" s="18" t="n">
        <v>0.05</v>
      </c>
      <c r="L30" s="19" t="n">
        <v>104500</v>
      </c>
      <c r="M30" s="19" t="n">
        <v>80000</v>
      </c>
      <c r="N30" s="19" t="n">
        <v>24500</v>
      </c>
    </row>
    <row r="31" customFormat="false" ht="15" hidden="false" customHeight="false" outlineLevel="0" collapsed="false">
      <c r="A31" s="20" t="n">
        <v>1030</v>
      </c>
      <c r="B31" s="21" t="s">
        <v>135</v>
      </c>
      <c r="C31" s="22" t="s">
        <v>136</v>
      </c>
      <c r="D31" s="22" t="s">
        <v>45</v>
      </c>
      <c r="E31" s="22" t="s">
        <v>32</v>
      </c>
      <c r="F31" s="22" t="s">
        <v>33</v>
      </c>
      <c r="G31" s="22" t="s">
        <v>48</v>
      </c>
      <c r="H31" s="22" t="s">
        <v>137</v>
      </c>
      <c r="I31" s="20" t="n">
        <v>3</v>
      </c>
      <c r="J31" s="23" t="n">
        <v>6500</v>
      </c>
      <c r="K31" s="24" t="n">
        <v>0.05</v>
      </c>
      <c r="L31" s="25" t="n">
        <v>18525</v>
      </c>
      <c r="M31" s="25" t="n">
        <v>12000</v>
      </c>
      <c r="N31" s="25" t="n">
        <v>6525</v>
      </c>
    </row>
    <row r="32" customFormat="false" ht="15" hidden="false" customHeight="false" outlineLevel="0" collapsed="false">
      <c r="A32" s="14" t="n">
        <v>1031</v>
      </c>
      <c r="B32" s="15" t="s">
        <v>138</v>
      </c>
      <c r="C32" s="16" t="s">
        <v>62</v>
      </c>
      <c r="D32" s="16" t="s">
        <v>45</v>
      </c>
      <c r="E32" s="16" t="s">
        <v>32</v>
      </c>
      <c r="F32" s="16" t="s">
        <v>63</v>
      </c>
      <c r="G32" s="16" t="s">
        <v>34</v>
      </c>
      <c r="H32" s="16" t="s">
        <v>139</v>
      </c>
      <c r="I32" s="14" t="n">
        <v>4</v>
      </c>
      <c r="J32" s="17" t="n">
        <v>12000</v>
      </c>
      <c r="K32" s="18" t="n">
        <v>0</v>
      </c>
      <c r="L32" s="19" t="n">
        <v>48000</v>
      </c>
      <c r="M32" s="19" t="n">
        <v>32000</v>
      </c>
      <c r="N32" s="19" t="n">
        <v>16000</v>
      </c>
    </row>
    <row r="33" customFormat="false" ht="15" hidden="false" customHeight="false" outlineLevel="0" collapsed="false">
      <c r="A33" s="20" t="n">
        <v>1032</v>
      </c>
      <c r="B33" s="21" t="s">
        <v>140</v>
      </c>
      <c r="C33" s="22" t="s">
        <v>141</v>
      </c>
      <c r="D33" s="22" t="s">
        <v>38</v>
      </c>
      <c r="E33" s="22" t="s">
        <v>39</v>
      </c>
      <c r="F33" s="22" t="s">
        <v>40</v>
      </c>
      <c r="G33" s="22" t="s">
        <v>41</v>
      </c>
      <c r="H33" s="22" t="s">
        <v>142</v>
      </c>
      <c r="I33" s="20" t="n">
        <v>2</v>
      </c>
      <c r="J33" s="23" t="n">
        <v>22000</v>
      </c>
      <c r="K33" s="24" t="n">
        <v>0.08</v>
      </c>
      <c r="L33" s="25" t="n">
        <v>40480</v>
      </c>
      <c r="M33" s="25" t="n">
        <v>28000</v>
      </c>
      <c r="N33" s="25" t="n">
        <v>12480</v>
      </c>
    </row>
    <row r="34" customFormat="false" ht="15" hidden="false" customHeight="false" outlineLevel="0" collapsed="false">
      <c r="A34" s="14" t="n">
        <v>1033</v>
      </c>
      <c r="B34" s="15" t="s">
        <v>143</v>
      </c>
      <c r="C34" s="16" t="s">
        <v>144</v>
      </c>
      <c r="D34" s="16" t="s">
        <v>31</v>
      </c>
      <c r="E34" s="16" t="s">
        <v>46</v>
      </c>
      <c r="F34" s="16" t="s">
        <v>33</v>
      </c>
      <c r="G34" s="16" t="s">
        <v>48</v>
      </c>
      <c r="H34" s="16" t="s">
        <v>145</v>
      </c>
      <c r="I34" s="14" t="n">
        <v>2</v>
      </c>
      <c r="J34" s="17" t="n">
        <v>15000</v>
      </c>
      <c r="K34" s="18" t="n">
        <v>0.05</v>
      </c>
      <c r="L34" s="19" t="n">
        <v>28500</v>
      </c>
      <c r="M34" s="19" t="n">
        <v>20000</v>
      </c>
      <c r="N34" s="19" t="n">
        <v>8500</v>
      </c>
    </row>
    <row r="35" customFormat="false" ht="15" hidden="false" customHeight="false" outlineLevel="0" collapsed="false">
      <c r="A35" s="20" t="n">
        <v>1034</v>
      </c>
      <c r="B35" s="21" t="s">
        <v>146</v>
      </c>
      <c r="C35" s="22" t="s">
        <v>147</v>
      </c>
      <c r="D35" s="22" t="s">
        <v>38</v>
      </c>
      <c r="E35" s="22" t="s">
        <v>52</v>
      </c>
      <c r="F35" s="22" t="s">
        <v>74</v>
      </c>
      <c r="G35" s="22" t="s">
        <v>34</v>
      </c>
      <c r="H35" s="22" t="s">
        <v>148</v>
      </c>
      <c r="I35" s="20" t="n">
        <v>10</v>
      </c>
      <c r="J35" s="23" t="n">
        <v>3500</v>
      </c>
      <c r="K35" s="24" t="n">
        <v>0</v>
      </c>
      <c r="L35" s="25" t="n">
        <v>35000</v>
      </c>
      <c r="M35" s="25" t="n">
        <v>22000</v>
      </c>
      <c r="N35" s="25" t="n">
        <v>13000</v>
      </c>
    </row>
    <row r="36" customFormat="false" ht="15" hidden="false" customHeight="false" outlineLevel="0" collapsed="false">
      <c r="A36" s="14" t="n">
        <v>1035</v>
      </c>
      <c r="B36" s="15" t="s">
        <v>149</v>
      </c>
      <c r="C36" s="16" t="s">
        <v>150</v>
      </c>
      <c r="D36" s="16" t="s">
        <v>45</v>
      </c>
      <c r="E36" s="16" t="s">
        <v>32</v>
      </c>
      <c r="F36" s="16" t="s">
        <v>84</v>
      </c>
      <c r="G36" s="16" t="s">
        <v>41</v>
      </c>
      <c r="H36" s="16" t="s">
        <v>151</v>
      </c>
      <c r="I36" s="14" t="n">
        <v>2</v>
      </c>
      <c r="J36" s="17" t="n">
        <v>18500</v>
      </c>
      <c r="K36" s="18" t="n">
        <v>0.1</v>
      </c>
      <c r="L36" s="19" t="n">
        <v>33300</v>
      </c>
      <c r="M36" s="19" t="n">
        <v>24000</v>
      </c>
      <c r="N36" s="19" t="n">
        <v>9300</v>
      </c>
    </row>
    <row r="37" customFormat="false" ht="15" hidden="false" customHeight="false" outlineLevel="0" collapsed="false">
      <c r="A37" s="20" t="n">
        <v>1036</v>
      </c>
      <c r="B37" s="21" t="s">
        <v>152</v>
      </c>
      <c r="C37" s="22" t="s">
        <v>153</v>
      </c>
      <c r="D37" s="22" t="s">
        <v>31</v>
      </c>
      <c r="E37" s="22" t="s">
        <v>39</v>
      </c>
      <c r="F37" s="22" t="s">
        <v>40</v>
      </c>
      <c r="G37" s="22" t="s">
        <v>34</v>
      </c>
      <c r="H37" s="22" t="s">
        <v>154</v>
      </c>
      <c r="I37" s="20" t="n">
        <v>1</v>
      </c>
      <c r="J37" s="23" t="n">
        <v>250000</v>
      </c>
      <c r="K37" s="24" t="n">
        <v>0.08</v>
      </c>
      <c r="L37" s="25" t="n">
        <v>230000</v>
      </c>
      <c r="M37" s="25" t="n">
        <v>180000</v>
      </c>
      <c r="N37" s="25" t="n">
        <v>50000</v>
      </c>
    </row>
    <row r="38" customFormat="false" ht="15" hidden="false" customHeight="false" outlineLevel="0" collapsed="false">
      <c r="A38" s="14" t="n">
        <v>1037</v>
      </c>
      <c r="B38" s="15" t="s">
        <v>155</v>
      </c>
      <c r="C38" s="16" t="s">
        <v>156</v>
      </c>
      <c r="D38" s="16" t="s">
        <v>38</v>
      </c>
      <c r="E38" s="16" t="s">
        <v>46</v>
      </c>
      <c r="F38" s="16" t="s">
        <v>103</v>
      </c>
      <c r="G38" s="16" t="s">
        <v>48</v>
      </c>
      <c r="H38" s="16" t="s">
        <v>157</v>
      </c>
      <c r="I38" s="14" t="n">
        <v>20</v>
      </c>
      <c r="J38" s="17" t="n">
        <v>400</v>
      </c>
      <c r="K38" s="18" t="n">
        <v>0</v>
      </c>
      <c r="L38" s="19" t="n">
        <v>8000</v>
      </c>
      <c r="M38" s="19" t="n">
        <v>3500</v>
      </c>
      <c r="N38" s="19" t="n">
        <v>4500</v>
      </c>
    </row>
    <row r="39" customFormat="false" ht="15" hidden="false" customHeight="false" outlineLevel="0" collapsed="false">
      <c r="A39" s="20" t="n">
        <v>1038</v>
      </c>
      <c r="B39" s="21" t="s">
        <v>158</v>
      </c>
      <c r="C39" s="22" t="s">
        <v>159</v>
      </c>
      <c r="D39" s="22" t="s">
        <v>45</v>
      </c>
      <c r="E39" s="22" t="s">
        <v>32</v>
      </c>
      <c r="F39" s="22" t="s">
        <v>33</v>
      </c>
      <c r="G39" s="22" t="s">
        <v>34</v>
      </c>
      <c r="H39" s="22" t="s">
        <v>160</v>
      </c>
      <c r="I39" s="20" t="n">
        <v>1</v>
      </c>
      <c r="J39" s="23" t="n">
        <v>85000</v>
      </c>
      <c r="K39" s="24" t="n">
        <v>0.05</v>
      </c>
      <c r="L39" s="25" t="n">
        <v>80750</v>
      </c>
      <c r="M39" s="25" t="n">
        <v>65000</v>
      </c>
      <c r="N39" s="25" t="n">
        <v>15750</v>
      </c>
    </row>
    <row r="40" customFormat="false" ht="15" hidden="false" customHeight="false" outlineLevel="0" collapsed="false">
      <c r="A40" s="14" t="n">
        <v>1039</v>
      </c>
      <c r="B40" s="15" t="s">
        <v>161</v>
      </c>
      <c r="C40" s="16" t="s">
        <v>162</v>
      </c>
      <c r="D40" s="16" t="s">
        <v>31</v>
      </c>
      <c r="E40" s="16" t="s">
        <v>52</v>
      </c>
      <c r="F40" s="16" t="s">
        <v>53</v>
      </c>
      <c r="G40" s="16" t="s">
        <v>41</v>
      </c>
      <c r="H40" s="16" t="s">
        <v>163</v>
      </c>
      <c r="I40" s="14" t="n">
        <v>2</v>
      </c>
      <c r="J40" s="17" t="n">
        <v>68000</v>
      </c>
      <c r="K40" s="18" t="n">
        <v>0.1</v>
      </c>
      <c r="L40" s="19" t="n">
        <v>122400</v>
      </c>
      <c r="M40" s="19" t="n">
        <v>96000</v>
      </c>
      <c r="N40" s="19" t="n">
        <v>26400</v>
      </c>
    </row>
    <row r="41" customFormat="false" ht="15" hidden="false" customHeight="false" outlineLevel="0" collapsed="false">
      <c r="A41" s="20" t="n">
        <v>1040</v>
      </c>
      <c r="B41" s="21" t="s">
        <v>164</v>
      </c>
      <c r="C41" s="22" t="s">
        <v>165</v>
      </c>
      <c r="D41" s="22" t="s">
        <v>38</v>
      </c>
      <c r="E41" s="22" t="s">
        <v>39</v>
      </c>
      <c r="F41" s="22" t="s">
        <v>40</v>
      </c>
      <c r="G41" s="22" t="s">
        <v>48</v>
      </c>
      <c r="H41" s="22" t="s">
        <v>166</v>
      </c>
      <c r="I41" s="20" t="n">
        <v>1</v>
      </c>
      <c r="J41" s="23" t="n">
        <v>12000</v>
      </c>
      <c r="K41" s="24" t="n">
        <v>0</v>
      </c>
      <c r="L41" s="25" t="n">
        <v>12000</v>
      </c>
      <c r="M41" s="25" t="n">
        <v>7500</v>
      </c>
      <c r="N41" s="25" t="n">
        <v>4500</v>
      </c>
    </row>
    <row r="42" customFormat="false" ht="15" hidden="false" customHeight="false" outlineLevel="0" collapsed="false">
      <c r="A42" s="14" t="n">
        <v>1041</v>
      </c>
      <c r="B42" s="15" t="s">
        <v>167</v>
      </c>
      <c r="C42" s="16" t="s">
        <v>168</v>
      </c>
      <c r="D42" s="16" t="s">
        <v>45</v>
      </c>
      <c r="E42" s="16" t="s">
        <v>32</v>
      </c>
      <c r="F42" s="16" t="s">
        <v>63</v>
      </c>
      <c r="G42" s="16" t="s">
        <v>34</v>
      </c>
      <c r="H42" s="16" t="s">
        <v>169</v>
      </c>
      <c r="I42" s="14" t="n">
        <v>3</v>
      </c>
      <c r="J42" s="17" t="n">
        <v>28000</v>
      </c>
      <c r="K42" s="18" t="n">
        <v>0.05</v>
      </c>
      <c r="L42" s="19" t="n">
        <v>79800</v>
      </c>
      <c r="M42" s="19" t="n">
        <v>60000</v>
      </c>
      <c r="N42" s="19" t="n">
        <v>19800</v>
      </c>
    </row>
    <row r="43" customFormat="false" ht="15" hidden="false" customHeight="false" outlineLevel="0" collapsed="false">
      <c r="A43" s="20" t="n">
        <v>1042</v>
      </c>
      <c r="B43" s="21" t="s">
        <v>170</v>
      </c>
      <c r="C43" s="22" t="s">
        <v>171</v>
      </c>
      <c r="D43" s="22" t="s">
        <v>31</v>
      </c>
      <c r="E43" s="22" t="s">
        <v>46</v>
      </c>
      <c r="F43" s="22" t="s">
        <v>67</v>
      </c>
      <c r="G43" s="22" t="s">
        <v>41</v>
      </c>
      <c r="H43" s="22" t="s">
        <v>172</v>
      </c>
      <c r="I43" s="20" t="n">
        <v>1</v>
      </c>
      <c r="J43" s="23" t="n">
        <v>95000</v>
      </c>
      <c r="K43" s="24" t="n">
        <v>0.08</v>
      </c>
      <c r="L43" s="25" t="n">
        <v>87400</v>
      </c>
      <c r="M43" s="25" t="n">
        <v>70000</v>
      </c>
      <c r="N43" s="25" t="n">
        <v>17400</v>
      </c>
    </row>
    <row r="44" customFormat="false" ht="15" hidden="false" customHeight="false" outlineLevel="0" collapsed="false">
      <c r="A44" s="14" t="n">
        <v>1043</v>
      </c>
      <c r="B44" s="15" t="s">
        <v>173</v>
      </c>
      <c r="C44" s="16" t="s">
        <v>174</v>
      </c>
      <c r="D44" s="16" t="s">
        <v>38</v>
      </c>
      <c r="E44" s="16" t="s">
        <v>39</v>
      </c>
      <c r="F44" s="16" t="s">
        <v>40</v>
      </c>
      <c r="G44" s="16" t="s">
        <v>48</v>
      </c>
      <c r="H44" s="16" t="s">
        <v>175</v>
      </c>
      <c r="I44" s="14" t="n">
        <v>12</v>
      </c>
      <c r="J44" s="17" t="n">
        <v>2200</v>
      </c>
      <c r="K44" s="18" t="n">
        <v>0.1</v>
      </c>
      <c r="L44" s="19" t="n">
        <v>23760</v>
      </c>
      <c r="M44" s="19" t="n">
        <v>14000</v>
      </c>
      <c r="N44" s="19" t="n">
        <v>9760</v>
      </c>
    </row>
    <row r="45" customFormat="false" ht="15" hidden="false" customHeight="false" outlineLevel="0" collapsed="false">
      <c r="A45" s="20" t="n">
        <v>1044</v>
      </c>
      <c r="B45" s="21" t="s">
        <v>176</v>
      </c>
      <c r="C45" s="22" t="s">
        <v>177</v>
      </c>
      <c r="D45" s="22" t="s">
        <v>45</v>
      </c>
      <c r="E45" s="22" t="s">
        <v>32</v>
      </c>
      <c r="F45" s="22" t="s">
        <v>33</v>
      </c>
      <c r="G45" s="22" t="s">
        <v>34</v>
      </c>
      <c r="H45" s="22" t="s">
        <v>178</v>
      </c>
      <c r="I45" s="20" t="n">
        <v>2</v>
      </c>
      <c r="J45" s="23" t="n">
        <v>35000</v>
      </c>
      <c r="K45" s="24" t="n">
        <v>0</v>
      </c>
      <c r="L45" s="25" t="n">
        <v>70000</v>
      </c>
      <c r="M45" s="25" t="n">
        <v>52000</v>
      </c>
      <c r="N45" s="25" t="n">
        <v>18000</v>
      </c>
    </row>
    <row r="46" customFormat="false" ht="15" hidden="false" customHeight="false" outlineLevel="0" collapsed="false">
      <c r="A46" s="14" t="n">
        <v>1045</v>
      </c>
      <c r="B46" s="15" t="s">
        <v>179</v>
      </c>
      <c r="C46" s="16" t="s">
        <v>180</v>
      </c>
      <c r="D46" s="16" t="s">
        <v>31</v>
      </c>
      <c r="E46" s="16" t="s">
        <v>52</v>
      </c>
      <c r="F46" s="16" t="s">
        <v>74</v>
      </c>
      <c r="G46" s="16" t="s">
        <v>41</v>
      </c>
      <c r="H46" s="16" t="s">
        <v>181</v>
      </c>
      <c r="I46" s="14" t="n">
        <v>5</v>
      </c>
      <c r="J46" s="17" t="n">
        <v>8500</v>
      </c>
      <c r="K46" s="18" t="n">
        <v>0.08</v>
      </c>
      <c r="L46" s="19" t="n">
        <v>39100</v>
      </c>
      <c r="M46" s="19" t="n">
        <v>28000</v>
      </c>
      <c r="N46" s="19" t="n">
        <v>11100</v>
      </c>
    </row>
    <row r="47" customFormat="false" ht="15" hidden="false" customHeight="false" outlineLevel="0" collapsed="false">
      <c r="A47" s="20" t="n">
        <v>1046</v>
      </c>
      <c r="B47" s="21" t="s">
        <v>182</v>
      </c>
      <c r="C47" s="22" t="s">
        <v>183</v>
      </c>
      <c r="D47" s="22" t="s">
        <v>38</v>
      </c>
      <c r="E47" s="22" t="s">
        <v>32</v>
      </c>
      <c r="F47" s="22" t="s">
        <v>115</v>
      </c>
      <c r="G47" s="22" t="s">
        <v>34</v>
      </c>
      <c r="H47" s="22" t="s">
        <v>184</v>
      </c>
      <c r="I47" s="20" t="n">
        <v>1</v>
      </c>
      <c r="J47" s="23" t="n">
        <v>42000</v>
      </c>
      <c r="K47" s="24" t="n">
        <v>0.1</v>
      </c>
      <c r="L47" s="25" t="n">
        <v>37800</v>
      </c>
      <c r="M47" s="25" t="n">
        <v>28000</v>
      </c>
      <c r="N47" s="25" t="n">
        <v>9800</v>
      </c>
    </row>
    <row r="48" customFormat="false" ht="15" hidden="false" customHeight="false" outlineLevel="0" collapsed="false">
      <c r="A48" s="14" t="n">
        <v>1047</v>
      </c>
      <c r="B48" s="15" t="s">
        <v>185</v>
      </c>
      <c r="C48" s="16" t="s">
        <v>186</v>
      </c>
      <c r="D48" s="16" t="s">
        <v>45</v>
      </c>
      <c r="E48" s="16" t="s">
        <v>46</v>
      </c>
      <c r="F48" s="16" t="s">
        <v>47</v>
      </c>
      <c r="G48" s="16" t="s">
        <v>48</v>
      </c>
      <c r="H48" s="16" t="s">
        <v>187</v>
      </c>
      <c r="I48" s="14" t="n">
        <v>1</v>
      </c>
      <c r="J48" s="17" t="n">
        <v>28000</v>
      </c>
      <c r="K48" s="18" t="n">
        <v>0.05</v>
      </c>
      <c r="L48" s="19" t="n">
        <v>26600</v>
      </c>
      <c r="M48" s="19" t="n">
        <v>18000</v>
      </c>
      <c r="N48" s="19" t="n">
        <v>8600</v>
      </c>
    </row>
    <row r="49" customFormat="false" ht="15" hidden="false" customHeight="false" outlineLevel="0" collapsed="false">
      <c r="A49" s="20" t="n">
        <v>1048</v>
      </c>
      <c r="B49" s="21" t="s">
        <v>188</v>
      </c>
      <c r="C49" s="22" t="s">
        <v>189</v>
      </c>
      <c r="D49" s="22" t="s">
        <v>31</v>
      </c>
      <c r="E49" s="22" t="s">
        <v>39</v>
      </c>
      <c r="F49" s="22" t="s">
        <v>40</v>
      </c>
      <c r="G49" s="22" t="s">
        <v>34</v>
      </c>
      <c r="H49" s="22" t="s">
        <v>190</v>
      </c>
      <c r="I49" s="20" t="n">
        <v>3</v>
      </c>
      <c r="J49" s="23" t="n">
        <v>22000</v>
      </c>
      <c r="K49" s="24" t="n">
        <v>0.05</v>
      </c>
      <c r="L49" s="25" t="n">
        <v>62700</v>
      </c>
      <c r="M49" s="25" t="n">
        <v>48000</v>
      </c>
      <c r="N49" s="25" t="n">
        <v>14700</v>
      </c>
    </row>
    <row r="50" customFormat="false" ht="15" hidden="false" customHeight="false" outlineLevel="0" collapsed="false">
      <c r="A50" s="14" t="n">
        <v>1049</v>
      </c>
      <c r="B50" s="15" t="s">
        <v>191</v>
      </c>
      <c r="C50" s="16" t="s">
        <v>192</v>
      </c>
      <c r="D50" s="16" t="s">
        <v>38</v>
      </c>
      <c r="E50" s="16" t="s">
        <v>32</v>
      </c>
      <c r="F50" s="16" t="s">
        <v>33</v>
      </c>
      <c r="G50" s="16" t="s">
        <v>41</v>
      </c>
      <c r="H50" s="16" t="s">
        <v>193</v>
      </c>
      <c r="I50" s="14" t="n">
        <v>1</v>
      </c>
      <c r="J50" s="17" t="n">
        <v>65000</v>
      </c>
      <c r="K50" s="18" t="n">
        <v>0.12</v>
      </c>
      <c r="L50" s="19" t="n">
        <v>57200</v>
      </c>
      <c r="M50" s="19" t="n">
        <v>45000</v>
      </c>
      <c r="N50" s="19" t="n">
        <v>12200</v>
      </c>
    </row>
    <row r="51" customFormat="false" ht="15" hidden="false" customHeight="false" outlineLevel="0" collapsed="false">
      <c r="A51" s="20" t="n">
        <v>1050</v>
      </c>
      <c r="B51" s="21" t="s">
        <v>194</v>
      </c>
      <c r="C51" s="22" t="s">
        <v>195</v>
      </c>
      <c r="D51" s="22" t="s">
        <v>45</v>
      </c>
      <c r="E51" s="22" t="s">
        <v>52</v>
      </c>
      <c r="F51" s="22" t="s">
        <v>53</v>
      </c>
      <c r="G51" s="22" t="s">
        <v>48</v>
      </c>
      <c r="H51" s="22" t="s">
        <v>196</v>
      </c>
      <c r="I51" s="20" t="n">
        <v>2</v>
      </c>
      <c r="J51" s="23" t="n">
        <v>9500</v>
      </c>
      <c r="K51" s="24" t="n">
        <v>0</v>
      </c>
      <c r="L51" s="25" t="n">
        <v>19000</v>
      </c>
      <c r="M51" s="25" t="n">
        <v>11000</v>
      </c>
      <c r="N51" s="25" t="n">
        <v>8000</v>
      </c>
    </row>
    <row r="52" customFormat="false" ht="15" hidden="false" customHeight="false" outlineLevel="0" collapsed="false">
      <c r="A52" s="14" t="n">
        <v>1051</v>
      </c>
      <c r="B52" s="15" t="s">
        <v>197</v>
      </c>
      <c r="C52" s="16" t="s">
        <v>198</v>
      </c>
      <c r="D52" s="16" t="s">
        <v>31</v>
      </c>
      <c r="E52" s="16" t="s">
        <v>32</v>
      </c>
      <c r="F52" s="16" t="s">
        <v>63</v>
      </c>
      <c r="G52" s="16" t="s">
        <v>34</v>
      </c>
      <c r="H52" s="16" t="s">
        <v>35</v>
      </c>
      <c r="I52" s="14" t="n">
        <v>1</v>
      </c>
      <c r="J52" s="17" t="n">
        <v>85000</v>
      </c>
      <c r="K52" s="18" t="n">
        <v>0.05</v>
      </c>
      <c r="L52" s="19" t="n">
        <v>80750</v>
      </c>
      <c r="M52" s="19" t="n">
        <v>60000</v>
      </c>
      <c r="N52" s="19" t="n">
        <v>20750</v>
      </c>
    </row>
    <row r="53" customFormat="false" ht="15" hidden="false" customHeight="false" outlineLevel="0" collapsed="false">
      <c r="A53" s="20" t="n">
        <v>1052</v>
      </c>
      <c r="B53" s="21" t="s">
        <v>199</v>
      </c>
      <c r="C53" s="22" t="s">
        <v>200</v>
      </c>
      <c r="D53" s="22" t="s">
        <v>38</v>
      </c>
      <c r="E53" s="22" t="s">
        <v>39</v>
      </c>
      <c r="F53" s="22" t="s">
        <v>40</v>
      </c>
      <c r="G53" s="22" t="s">
        <v>41</v>
      </c>
      <c r="H53" s="22" t="s">
        <v>201</v>
      </c>
      <c r="I53" s="20" t="n">
        <v>1</v>
      </c>
      <c r="J53" s="23" t="n">
        <v>55000</v>
      </c>
      <c r="K53" s="24" t="n">
        <v>0.08</v>
      </c>
      <c r="L53" s="25" t="n">
        <v>50600</v>
      </c>
      <c r="M53" s="25" t="n">
        <v>38000</v>
      </c>
      <c r="N53" s="25" t="n">
        <v>12600</v>
      </c>
    </row>
    <row r="54" customFormat="false" ht="15" hidden="false" customHeight="false" outlineLevel="0" collapsed="false">
      <c r="A54" s="14" t="n">
        <v>1053</v>
      </c>
      <c r="B54" s="15" t="s">
        <v>202</v>
      </c>
      <c r="C54" s="16" t="s">
        <v>203</v>
      </c>
      <c r="D54" s="16" t="s">
        <v>45</v>
      </c>
      <c r="E54" s="16" t="s">
        <v>46</v>
      </c>
      <c r="F54" s="16" t="s">
        <v>103</v>
      </c>
      <c r="G54" s="16" t="s">
        <v>48</v>
      </c>
      <c r="H54" s="16" t="s">
        <v>204</v>
      </c>
      <c r="I54" s="14" t="n">
        <v>3</v>
      </c>
      <c r="J54" s="17" t="n">
        <v>4500</v>
      </c>
      <c r="K54" s="18" t="n">
        <v>0</v>
      </c>
      <c r="L54" s="19" t="n">
        <v>13500</v>
      </c>
      <c r="M54" s="19" t="n">
        <v>7000</v>
      </c>
      <c r="N54" s="19" t="n">
        <v>6500</v>
      </c>
    </row>
    <row r="55" customFormat="false" ht="15" hidden="false" customHeight="false" outlineLevel="0" collapsed="false">
      <c r="A55" s="20" t="n">
        <v>1054</v>
      </c>
      <c r="B55" s="21" t="s">
        <v>205</v>
      </c>
      <c r="C55" s="22" t="s">
        <v>206</v>
      </c>
      <c r="D55" s="22" t="s">
        <v>31</v>
      </c>
      <c r="E55" s="22" t="s">
        <v>32</v>
      </c>
      <c r="F55" s="22" t="s">
        <v>33</v>
      </c>
      <c r="G55" s="22" t="s">
        <v>34</v>
      </c>
      <c r="H55" s="22" t="s">
        <v>207</v>
      </c>
      <c r="I55" s="20" t="n">
        <v>2</v>
      </c>
      <c r="J55" s="23" t="n">
        <v>75000</v>
      </c>
      <c r="K55" s="24" t="n">
        <v>0.1</v>
      </c>
      <c r="L55" s="25" t="n">
        <v>135000</v>
      </c>
      <c r="M55" s="25" t="n">
        <v>100000</v>
      </c>
      <c r="N55" s="25" t="n">
        <v>35000</v>
      </c>
    </row>
    <row r="56" customFormat="false" ht="15" hidden="false" customHeight="false" outlineLevel="0" collapsed="false">
      <c r="A56" s="14" t="n">
        <v>1055</v>
      </c>
      <c r="B56" s="15" t="s">
        <v>208</v>
      </c>
      <c r="C56" s="16" t="s">
        <v>209</v>
      </c>
      <c r="D56" s="16" t="s">
        <v>38</v>
      </c>
      <c r="E56" s="16" t="s">
        <v>52</v>
      </c>
      <c r="F56" s="16" t="s">
        <v>74</v>
      </c>
      <c r="G56" s="16" t="s">
        <v>41</v>
      </c>
      <c r="H56" s="16" t="s">
        <v>210</v>
      </c>
      <c r="I56" s="14" t="n">
        <v>2</v>
      </c>
      <c r="J56" s="17" t="n">
        <v>12000</v>
      </c>
      <c r="K56" s="18" t="n">
        <v>0.05</v>
      </c>
      <c r="L56" s="19" t="n">
        <v>22800</v>
      </c>
      <c r="M56" s="19" t="n">
        <v>14000</v>
      </c>
      <c r="N56" s="19" t="n">
        <v>8800</v>
      </c>
    </row>
    <row r="57" customFormat="false" ht="15" hidden="false" customHeight="false" outlineLevel="0" collapsed="false">
      <c r="A57" s="20" t="n">
        <v>1056</v>
      </c>
      <c r="B57" s="21" t="s">
        <v>211</v>
      </c>
      <c r="C57" s="22" t="s">
        <v>212</v>
      </c>
      <c r="D57" s="22" t="s">
        <v>45</v>
      </c>
      <c r="E57" s="22" t="s">
        <v>39</v>
      </c>
      <c r="F57" s="22" t="s">
        <v>40</v>
      </c>
      <c r="G57" s="22" t="s">
        <v>34</v>
      </c>
      <c r="H57" s="22" t="s">
        <v>213</v>
      </c>
      <c r="I57" s="20" t="n">
        <v>2</v>
      </c>
      <c r="J57" s="23" t="n">
        <v>18000</v>
      </c>
      <c r="K57" s="24" t="n">
        <v>0</v>
      </c>
      <c r="L57" s="25" t="n">
        <v>36000</v>
      </c>
      <c r="M57" s="25" t="n">
        <v>24000</v>
      </c>
      <c r="N57" s="25" t="n">
        <v>12000</v>
      </c>
    </row>
    <row r="58" customFormat="false" ht="15" hidden="false" customHeight="false" outlineLevel="0" collapsed="false">
      <c r="A58" s="14" t="n">
        <v>1057</v>
      </c>
      <c r="B58" s="15" t="s">
        <v>214</v>
      </c>
      <c r="C58" s="16" t="s">
        <v>215</v>
      </c>
      <c r="D58" s="16" t="s">
        <v>31</v>
      </c>
      <c r="E58" s="16" t="s">
        <v>46</v>
      </c>
      <c r="F58" s="16" t="s">
        <v>67</v>
      </c>
      <c r="G58" s="16" t="s">
        <v>48</v>
      </c>
      <c r="H58" s="16" t="s">
        <v>216</v>
      </c>
      <c r="I58" s="14" t="n">
        <v>5</v>
      </c>
      <c r="J58" s="17" t="n">
        <v>1800</v>
      </c>
      <c r="K58" s="18" t="n">
        <v>0.05</v>
      </c>
      <c r="L58" s="19" t="n">
        <v>8550</v>
      </c>
      <c r="M58" s="19" t="n">
        <v>4500</v>
      </c>
      <c r="N58" s="19" t="n">
        <v>4050</v>
      </c>
    </row>
    <row r="59" customFormat="false" ht="15" hidden="false" customHeight="false" outlineLevel="0" collapsed="false">
      <c r="A59" s="20" t="n">
        <v>1058</v>
      </c>
      <c r="B59" s="21" t="s">
        <v>217</v>
      </c>
      <c r="C59" s="22" t="s">
        <v>218</v>
      </c>
      <c r="D59" s="22" t="s">
        <v>38</v>
      </c>
      <c r="E59" s="22" t="s">
        <v>32</v>
      </c>
      <c r="F59" s="22" t="s">
        <v>84</v>
      </c>
      <c r="G59" s="22" t="s">
        <v>34</v>
      </c>
      <c r="H59" s="22" t="s">
        <v>219</v>
      </c>
      <c r="I59" s="20" t="n">
        <v>6</v>
      </c>
      <c r="J59" s="23" t="n">
        <v>6500</v>
      </c>
      <c r="K59" s="24" t="n">
        <v>0.1</v>
      </c>
      <c r="L59" s="25" t="n">
        <v>35100</v>
      </c>
      <c r="M59" s="25" t="n">
        <v>24000</v>
      </c>
      <c r="N59" s="25" t="n">
        <v>11100</v>
      </c>
    </row>
    <row r="60" customFormat="false" ht="15" hidden="false" customHeight="false" outlineLevel="0" collapsed="false">
      <c r="A60" s="14" t="n">
        <v>1059</v>
      </c>
      <c r="B60" s="15" t="s">
        <v>220</v>
      </c>
      <c r="C60" s="16" t="s">
        <v>221</v>
      </c>
      <c r="D60" s="16" t="s">
        <v>45</v>
      </c>
      <c r="E60" s="16" t="s">
        <v>52</v>
      </c>
      <c r="F60" s="16" t="s">
        <v>53</v>
      </c>
      <c r="G60" s="16" t="s">
        <v>41</v>
      </c>
      <c r="H60" s="16" t="s">
        <v>222</v>
      </c>
      <c r="I60" s="14" t="n">
        <v>3</v>
      </c>
      <c r="J60" s="17" t="n">
        <v>9000</v>
      </c>
      <c r="K60" s="18" t="n">
        <v>0</v>
      </c>
      <c r="L60" s="19" t="n">
        <v>27000</v>
      </c>
      <c r="M60" s="19" t="n">
        <v>16000</v>
      </c>
      <c r="N60" s="19" t="n">
        <v>11000</v>
      </c>
    </row>
    <row r="61" customFormat="false" ht="15" hidden="false" customHeight="false" outlineLevel="0" collapsed="false">
      <c r="A61" s="20" t="n">
        <v>1060</v>
      </c>
      <c r="B61" s="21" t="s">
        <v>223</v>
      </c>
      <c r="C61" s="22" t="s">
        <v>224</v>
      </c>
      <c r="D61" s="22" t="s">
        <v>31</v>
      </c>
      <c r="E61" s="22" t="s">
        <v>39</v>
      </c>
      <c r="F61" s="22" t="s">
        <v>40</v>
      </c>
      <c r="G61" s="22" t="s">
        <v>34</v>
      </c>
      <c r="H61" s="22" t="s">
        <v>225</v>
      </c>
      <c r="I61" s="20" t="n">
        <v>1</v>
      </c>
      <c r="J61" s="23" t="n">
        <v>45000</v>
      </c>
      <c r="K61" s="24" t="n">
        <v>0.08</v>
      </c>
      <c r="L61" s="25" t="n">
        <v>41400</v>
      </c>
      <c r="M61" s="25" t="n">
        <v>32000</v>
      </c>
      <c r="N61" s="25" t="n">
        <v>9400</v>
      </c>
    </row>
    <row r="62" customFormat="false" ht="15" hidden="false" customHeight="false" outlineLevel="0" collapsed="false">
      <c r="A62" s="14" t="n">
        <v>1061</v>
      </c>
      <c r="B62" s="15" t="s">
        <v>226</v>
      </c>
      <c r="C62" s="16" t="s">
        <v>30</v>
      </c>
      <c r="D62" s="16" t="s">
        <v>31</v>
      </c>
      <c r="E62" s="16" t="s">
        <v>32</v>
      </c>
      <c r="F62" s="16" t="s">
        <v>33</v>
      </c>
      <c r="G62" s="16" t="s">
        <v>34</v>
      </c>
      <c r="H62" s="16" t="s">
        <v>35</v>
      </c>
      <c r="I62" s="14" t="n">
        <v>3</v>
      </c>
      <c r="J62" s="17" t="n">
        <v>85000</v>
      </c>
      <c r="K62" s="18" t="n">
        <v>0.05</v>
      </c>
      <c r="L62" s="19" t="n">
        <v>242250</v>
      </c>
      <c r="M62" s="19" t="n">
        <v>180000</v>
      </c>
      <c r="N62" s="19" t="n">
        <v>62250</v>
      </c>
    </row>
    <row r="63" customFormat="false" ht="15" hidden="false" customHeight="false" outlineLevel="0" collapsed="false">
      <c r="A63" s="20" t="n">
        <v>1062</v>
      </c>
      <c r="B63" s="21" t="s">
        <v>227</v>
      </c>
      <c r="C63" s="22" t="s">
        <v>228</v>
      </c>
      <c r="D63" s="22" t="s">
        <v>38</v>
      </c>
      <c r="E63" s="22" t="s">
        <v>39</v>
      </c>
      <c r="F63" s="22" t="s">
        <v>80</v>
      </c>
      <c r="G63" s="22" t="s">
        <v>41</v>
      </c>
      <c r="H63" s="22" t="s">
        <v>229</v>
      </c>
      <c r="I63" s="20" t="n">
        <v>1</v>
      </c>
      <c r="J63" s="23" t="n">
        <v>55000</v>
      </c>
      <c r="K63" s="24" t="n">
        <v>0.1</v>
      </c>
      <c r="L63" s="25" t="n">
        <v>49500</v>
      </c>
      <c r="M63" s="25" t="n">
        <v>38000</v>
      </c>
      <c r="N63" s="25" t="n">
        <v>11500</v>
      </c>
    </row>
    <row r="64" customFormat="false" ht="15" hidden="false" customHeight="false" outlineLevel="0" collapsed="false">
      <c r="A64" s="14" t="n">
        <v>1063</v>
      </c>
      <c r="B64" s="15" t="s">
        <v>230</v>
      </c>
      <c r="C64" s="16" t="s">
        <v>231</v>
      </c>
      <c r="D64" s="16" t="s">
        <v>45</v>
      </c>
      <c r="E64" s="16" t="s">
        <v>46</v>
      </c>
      <c r="F64" s="16" t="s">
        <v>47</v>
      </c>
      <c r="G64" s="16" t="s">
        <v>48</v>
      </c>
      <c r="H64" s="16" t="s">
        <v>232</v>
      </c>
      <c r="I64" s="14" t="n">
        <v>30</v>
      </c>
      <c r="J64" s="17" t="n">
        <v>250</v>
      </c>
      <c r="K64" s="18" t="n">
        <v>0</v>
      </c>
      <c r="L64" s="19" t="n">
        <v>7500</v>
      </c>
      <c r="M64" s="19" t="n">
        <v>3200</v>
      </c>
      <c r="N64" s="19" t="n">
        <v>4300</v>
      </c>
    </row>
    <row r="65" customFormat="false" ht="15" hidden="false" customHeight="false" outlineLevel="0" collapsed="false">
      <c r="A65" s="20" t="n">
        <v>1064</v>
      </c>
      <c r="B65" s="21" t="s">
        <v>233</v>
      </c>
      <c r="C65" s="22" t="s">
        <v>234</v>
      </c>
      <c r="D65" s="22" t="s">
        <v>31</v>
      </c>
      <c r="E65" s="22" t="s">
        <v>32</v>
      </c>
      <c r="F65" s="22" t="s">
        <v>63</v>
      </c>
      <c r="G65" s="22" t="s">
        <v>34</v>
      </c>
      <c r="H65" s="22" t="s">
        <v>235</v>
      </c>
      <c r="I65" s="20" t="n">
        <v>4</v>
      </c>
      <c r="J65" s="23" t="n">
        <v>15000</v>
      </c>
      <c r="K65" s="24" t="n">
        <v>0.05</v>
      </c>
      <c r="L65" s="25" t="n">
        <v>57000</v>
      </c>
      <c r="M65" s="25" t="n">
        <v>42000</v>
      </c>
      <c r="N65" s="25" t="n">
        <v>15000</v>
      </c>
    </row>
    <row r="66" customFormat="false" ht="15" hidden="false" customHeight="false" outlineLevel="0" collapsed="false">
      <c r="A66" s="14" t="n">
        <v>1065</v>
      </c>
      <c r="B66" s="15" t="s">
        <v>236</v>
      </c>
      <c r="C66" s="16" t="s">
        <v>237</v>
      </c>
      <c r="D66" s="16" t="s">
        <v>38</v>
      </c>
      <c r="E66" s="16" t="s">
        <v>52</v>
      </c>
      <c r="F66" s="16" t="s">
        <v>74</v>
      </c>
      <c r="G66" s="16" t="s">
        <v>41</v>
      </c>
      <c r="H66" s="16" t="s">
        <v>238</v>
      </c>
      <c r="I66" s="14" t="n">
        <v>1</v>
      </c>
      <c r="J66" s="17" t="n">
        <v>98000</v>
      </c>
      <c r="K66" s="18" t="n">
        <v>0.1</v>
      </c>
      <c r="L66" s="19" t="n">
        <v>88200</v>
      </c>
      <c r="M66" s="19" t="n">
        <v>70000</v>
      </c>
      <c r="N66" s="19" t="n">
        <v>18200</v>
      </c>
    </row>
    <row r="67" customFormat="false" ht="15" hidden="false" customHeight="false" outlineLevel="0" collapsed="false">
      <c r="A67" s="20" t="n">
        <v>1066</v>
      </c>
      <c r="B67" s="21" t="s">
        <v>239</v>
      </c>
      <c r="C67" s="22" t="s">
        <v>70</v>
      </c>
      <c r="D67" s="22" t="s">
        <v>38</v>
      </c>
      <c r="E67" s="22" t="s">
        <v>39</v>
      </c>
      <c r="F67" s="22" t="s">
        <v>40</v>
      </c>
      <c r="G67" s="22" t="s">
        <v>48</v>
      </c>
      <c r="H67" s="22" t="s">
        <v>240</v>
      </c>
      <c r="I67" s="20" t="n">
        <v>25</v>
      </c>
      <c r="J67" s="23" t="n">
        <v>350</v>
      </c>
      <c r="K67" s="24" t="n">
        <v>0</v>
      </c>
      <c r="L67" s="25" t="n">
        <v>8750</v>
      </c>
      <c r="M67" s="25" t="n">
        <v>4000</v>
      </c>
      <c r="N67" s="25" t="n">
        <v>4750</v>
      </c>
    </row>
    <row r="68" customFormat="false" ht="15" hidden="false" customHeight="false" outlineLevel="0" collapsed="false">
      <c r="A68" s="14" t="n">
        <v>1067</v>
      </c>
      <c r="B68" s="15" t="s">
        <v>241</v>
      </c>
      <c r="C68" s="16" t="s">
        <v>242</v>
      </c>
      <c r="D68" s="16" t="s">
        <v>45</v>
      </c>
      <c r="E68" s="16" t="s">
        <v>32</v>
      </c>
      <c r="F68" s="16" t="s">
        <v>33</v>
      </c>
      <c r="G68" s="16" t="s">
        <v>34</v>
      </c>
      <c r="H68" s="16" t="s">
        <v>243</v>
      </c>
      <c r="I68" s="14" t="n">
        <v>2</v>
      </c>
      <c r="J68" s="17" t="n">
        <v>22000</v>
      </c>
      <c r="K68" s="18" t="n">
        <v>0.05</v>
      </c>
      <c r="L68" s="19" t="n">
        <v>41800</v>
      </c>
      <c r="M68" s="19" t="n">
        <v>30000</v>
      </c>
      <c r="N68" s="19" t="n">
        <v>11800</v>
      </c>
    </row>
    <row r="69" customFormat="false" ht="15" hidden="false" customHeight="false" outlineLevel="0" collapsed="false">
      <c r="A69" s="20" t="n">
        <v>1068</v>
      </c>
      <c r="B69" s="21" t="s">
        <v>244</v>
      </c>
      <c r="C69" s="22" t="s">
        <v>245</v>
      </c>
      <c r="D69" s="22" t="s">
        <v>31</v>
      </c>
      <c r="E69" s="22" t="s">
        <v>46</v>
      </c>
      <c r="F69" s="22" t="s">
        <v>67</v>
      </c>
      <c r="G69" s="22" t="s">
        <v>41</v>
      </c>
      <c r="H69" s="22" t="s">
        <v>246</v>
      </c>
      <c r="I69" s="20" t="n">
        <v>1</v>
      </c>
      <c r="J69" s="23" t="n">
        <v>135000</v>
      </c>
      <c r="K69" s="24" t="n">
        <v>0.12</v>
      </c>
      <c r="L69" s="25" t="n">
        <v>118800</v>
      </c>
      <c r="M69" s="25" t="n">
        <v>90000</v>
      </c>
      <c r="N69" s="25" t="n">
        <v>28800</v>
      </c>
    </row>
    <row r="70" customFormat="false" ht="15" hidden="false" customHeight="false" outlineLevel="0" collapsed="false">
      <c r="A70" s="14" t="n">
        <v>1069</v>
      </c>
      <c r="B70" s="15" t="s">
        <v>247</v>
      </c>
      <c r="C70" s="16" t="s">
        <v>248</v>
      </c>
      <c r="D70" s="16" t="s">
        <v>38</v>
      </c>
      <c r="E70" s="16" t="s">
        <v>39</v>
      </c>
      <c r="F70" s="16" t="s">
        <v>40</v>
      </c>
      <c r="G70" s="16" t="s">
        <v>34</v>
      </c>
      <c r="H70" s="16" t="s">
        <v>71</v>
      </c>
      <c r="I70" s="14" t="n">
        <v>3</v>
      </c>
      <c r="J70" s="17" t="n">
        <v>42000</v>
      </c>
      <c r="K70" s="18" t="n">
        <v>0.05</v>
      </c>
      <c r="L70" s="19" t="n">
        <v>119700</v>
      </c>
      <c r="M70" s="19" t="n">
        <v>90000</v>
      </c>
      <c r="N70" s="19" t="n">
        <v>29700</v>
      </c>
    </row>
    <row r="71" customFormat="false" ht="15" hidden="false" customHeight="false" outlineLevel="0" collapsed="false">
      <c r="A71" s="20" t="n">
        <v>1070</v>
      </c>
      <c r="B71" s="21" t="s">
        <v>249</v>
      </c>
      <c r="C71" s="22" t="s">
        <v>180</v>
      </c>
      <c r="D71" s="22" t="s">
        <v>31</v>
      </c>
      <c r="E71" s="22" t="s">
        <v>52</v>
      </c>
      <c r="F71" s="22" t="s">
        <v>53</v>
      </c>
      <c r="G71" s="22" t="s">
        <v>48</v>
      </c>
      <c r="H71" s="22" t="s">
        <v>250</v>
      </c>
      <c r="I71" s="20" t="n">
        <v>2</v>
      </c>
      <c r="J71" s="23" t="n">
        <v>5500</v>
      </c>
      <c r="K71" s="24" t="n">
        <v>0</v>
      </c>
      <c r="L71" s="25" t="n">
        <v>11000</v>
      </c>
      <c r="M71" s="25" t="n">
        <v>6000</v>
      </c>
      <c r="N71" s="25" t="n">
        <v>5000</v>
      </c>
    </row>
    <row r="72" customFormat="false" ht="15" hidden="false" customHeight="false" outlineLevel="0" collapsed="false">
      <c r="A72" s="14" t="n">
        <v>1071</v>
      </c>
      <c r="B72" s="15" t="s">
        <v>251</v>
      </c>
      <c r="C72" s="16" t="s">
        <v>252</v>
      </c>
      <c r="D72" s="16" t="s">
        <v>45</v>
      </c>
      <c r="E72" s="16" t="s">
        <v>32</v>
      </c>
      <c r="F72" s="16" t="s">
        <v>84</v>
      </c>
      <c r="G72" s="16" t="s">
        <v>34</v>
      </c>
      <c r="H72" s="16" t="s">
        <v>253</v>
      </c>
      <c r="I72" s="14" t="n">
        <v>4</v>
      </c>
      <c r="J72" s="17" t="n">
        <v>12000</v>
      </c>
      <c r="K72" s="18" t="n">
        <v>0.05</v>
      </c>
      <c r="L72" s="19" t="n">
        <v>45600</v>
      </c>
      <c r="M72" s="19" t="n">
        <v>32000</v>
      </c>
      <c r="N72" s="19" t="n">
        <v>13600</v>
      </c>
    </row>
    <row r="73" customFormat="false" ht="15" hidden="false" customHeight="false" outlineLevel="0" collapsed="false">
      <c r="A73" s="20" t="n">
        <v>1072</v>
      </c>
      <c r="B73" s="21" t="s">
        <v>254</v>
      </c>
      <c r="C73" s="22" t="s">
        <v>255</v>
      </c>
      <c r="D73" s="22" t="s">
        <v>31</v>
      </c>
      <c r="E73" s="22" t="s">
        <v>39</v>
      </c>
      <c r="F73" s="22" t="s">
        <v>40</v>
      </c>
      <c r="G73" s="22" t="s">
        <v>41</v>
      </c>
      <c r="H73" s="22" t="s">
        <v>256</v>
      </c>
      <c r="I73" s="20" t="n">
        <v>5</v>
      </c>
      <c r="J73" s="23" t="n">
        <v>28000</v>
      </c>
      <c r="K73" s="24" t="n">
        <v>0.08</v>
      </c>
      <c r="L73" s="25" t="n">
        <v>128800</v>
      </c>
      <c r="M73" s="25" t="n">
        <v>96000</v>
      </c>
      <c r="N73" s="25" t="n">
        <v>32800</v>
      </c>
    </row>
    <row r="74" customFormat="false" ht="15" hidden="false" customHeight="false" outlineLevel="0" collapsed="false">
      <c r="A74" s="14" t="n">
        <v>1073</v>
      </c>
      <c r="B74" s="15" t="s">
        <v>257</v>
      </c>
      <c r="C74" s="16" t="s">
        <v>258</v>
      </c>
      <c r="D74" s="16" t="s">
        <v>38</v>
      </c>
      <c r="E74" s="16" t="s">
        <v>46</v>
      </c>
      <c r="F74" s="16" t="s">
        <v>103</v>
      </c>
      <c r="G74" s="16" t="s">
        <v>48</v>
      </c>
      <c r="H74" s="16" t="s">
        <v>259</v>
      </c>
      <c r="I74" s="14" t="n">
        <v>8</v>
      </c>
      <c r="J74" s="17" t="n">
        <v>1200</v>
      </c>
      <c r="K74" s="18" t="n">
        <v>0</v>
      </c>
      <c r="L74" s="19" t="n">
        <v>9600</v>
      </c>
      <c r="M74" s="19" t="n">
        <v>5000</v>
      </c>
      <c r="N74" s="19" t="n">
        <v>4600</v>
      </c>
    </row>
    <row r="75" customFormat="false" ht="15" hidden="false" customHeight="false" outlineLevel="0" collapsed="false">
      <c r="A75" s="20" t="n">
        <v>1074</v>
      </c>
      <c r="B75" s="21" t="s">
        <v>260</v>
      </c>
      <c r="C75" s="22" t="s">
        <v>261</v>
      </c>
      <c r="D75" s="22" t="s">
        <v>45</v>
      </c>
      <c r="E75" s="22" t="s">
        <v>32</v>
      </c>
      <c r="F75" s="22" t="s">
        <v>33</v>
      </c>
      <c r="G75" s="22" t="s">
        <v>34</v>
      </c>
      <c r="H75" s="22" t="s">
        <v>262</v>
      </c>
      <c r="I75" s="20" t="n">
        <v>10</v>
      </c>
      <c r="J75" s="23" t="n">
        <v>3200</v>
      </c>
      <c r="K75" s="24" t="n">
        <v>0</v>
      </c>
      <c r="L75" s="25" t="n">
        <v>32000</v>
      </c>
      <c r="M75" s="25" t="n">
        <v>20000</v>
      </c>
      <c r="N75" s="25" t="n">
        <v>12000</v>
      </c>
    </row>
    <row r="76" customFormat="false" ht="15" hidden="false" customHeight="false" outlineLevel="0" collapsed="false">
      <c r="A76" s="14" t="n">
        <v>1075</v>
      </c>
      <c r="B76" s="15" t="s">
        <v>263</v>
      </c>
      <c r="C76" s="16" t="s">
        <v>66</v>
      </c>
      <c r="D76" s="16" t="s">
        <v>31</v>
      </c>
      <c r="E76" s="16" t="s">
        <v>52</v>
      </c>
      <c r="F76" s="16" t="s">
        <v>74</v>
      </c>
      <c r="G76" s="16" t="s">
        <v>41</v>
      </c>
      <c r="H76" s="16" t="s">
        <v>264</v>
      </c>
      <c r="I76" s="14" t="n">
        <v>1</v>
      </c>
      <c r="J76" s="17" t="n">
        <v>125000</v>
      </c>
      <c r="K76" s="18" t="n">
        <v>0.1</v>
      </c>
      <c r="L76" s="19" t="n">
        <v>112500</v>
      </c>
      <c r="M76" s="19" t="n">
        <v>88000</v>
      </c>
      <c r="N76" s="19" t="n">
        <v>24500</v>
      </c>
    </row>
    <row r="77" customFormat="false" ht="15" hidden="false" customHeight="false" outlineLevel="0" collapsed="false">
      <c r="A77" s="20" t="n">
        <v>1076</v>
      </c>
      <c r="B77" s="21" t="s">
        <v>265</v>
      </c>
      <c r="C77" s="22" t="s">
        <v>266</v>
      </c>
      <c r="D77" s="22" t="s">
        <v>38</v>
      </c>
      <c r="E77" s="22" t="s">
        <v>32</v>
      </c>
      <c r="F77" s="22" t="s">
        <v>115</v>
      </c>
      <c r="G77" s="22" t="s">
        <v>34</v>
      </c>
      <c r="H77" s="22" t="s">
        <v>267</v>
      </c>
      <c r="I77" s="20" t="n">
        <v>1</v>
      </c>
      <c r="J77" s="23" t="n">
        <v>55000</v>
      </c>
      <c r="K77" s="24" t="n">
        <v>0.05</v>
      </c>
      <c r="L77" s="25" t="n">
        <v>52250</v>
      </c>
      <c r="M77" s="25" t="n">
        <v>40000</v>
      </c>
      <c r="N77" s="25" t="n">
        <v>12250</v>
      </c>
    </row>
    <row r="78" customFormat="false" ht="15" hidden="false" customHeight="false" outlineLevel="0" collapsed="false">
      <c r="A78" s="14" t="n">
        <v>1077</v>
      </c>
      <c r="B78" s="15" t="s">
        <v>268</v>
      </c>
      <c r="C78" s="16" t="s">
        <v>269</v>
      </c>
      <c r="D78" s="16" t="s">
        <v>45</v>
      </c>
      <c r="E78" s="16" t="s">
        <v>39</v>
      </c>
      <c r="F78" s="16" t="s">
        <v>40</v>
      </c>
      <c r="G78" s="16" t="s">
        <v>48</v>
      </c>
      <c r="H78" s="16" t="s">
        <v>270</v>
      </c>
      <c r="I78" s="14" t="n">
        <v>15</v>
      </c>
      <c r="J78" s="17" t="n">
        <v>480</v>
      </c>
      <c r="K78" s="18" t="n">
        <v>0</v>
      </c>
      <c r="L78" s="19" t="n">
        <v>7200</v>
      </c>
      <c r="M78" s="19" t="n">
        <v>3500</v>
      </c>
      <c r="N78" s="19" t="n">
        <v>3700</v>
      </c>
    </row>
    <row r="79" customFormat="false" ht="15" hidden="false" customHeight="false" outlineLevel="0" collapsed="false">
      <c r="A79" s="20" t="n">
        <v>1078</v>
      </c>
      <c r="B79" s="21" t="s">
        <v>271</v>
      </c>
      <c r="C79" s="22" t="s">
        <v>272</v>
      </c>
      <c r="D79" s="22" t="s">
        <v>31</v>
      </c>
      <c r="E79" s="22" t="s">
        <v>46</v>
      </c>
      <c r="F79" s="22" t="s">
        <v>67</v>
      </c>
      <c r="G79" s="22" t="s">
        <v>34</v>
      </c>
      <c r="H79" s="22" t="s">
        <v>273</v>
      </c>
      <c r="I79" s="20" t="n">
        <v>2</v>
      </c>
      <c r="J79" s="23" t="n">
        <v>35000</v>
      </c>
      <c r="K79" s="24" t="n">
        <v>0.08</v>
      </c>
      <c r="L79" s="25" t="n">
        <v>64400</v>
      </c>
      <c r="M79" s="25" t="n">
        <v>48000</v>
      </c>
      <c r="N79" s="25" t="n">
        <v>16400</v>
      </c>
    </row>
    <row r="80" customFormat="false" ht="15" hidden="false" customHeight="false" outlineLevel="0" collapsed="false">
      <c r="A80" s="14" t="n">
        <v>1079</v>
      </c>
      <c r="B80" s="15" t="s">
        <v>274</v>
      </c>
      <c r="C80" s="16" t="s">
        <v>275</v>
      </c>
      <c r="D80" s="16" t="s">
        <v>38</v>
      </c>
      <c r="E80" s="16" t="s">
        <v>32</v>
      </c>
      <c r="F80" s="16" t="s">
        <v>63</v>
      </c>
      <c r="G80" s="16" t="s">
        <v>41</v>
      </c>
      <c r="H80" s="16" t="s">
        <v>276</v>
      </c>
      <c r="I80" s="14" t="n">
        <v>2</v>
      </c>
      <c r="J80" s="17" t="n">
        <v>32000</v>
      </c>
      <c r="K80" s="18" t="n">
        <v>0.1</v>
      </c>
      <c r="L80" s="19" t="n">
        <v>57600</v>
      </c>
      <c r="M80" s="19" t="n">
        <v>42000</v>
      </c>
      <c r="N80" s="19" t="n">
        <v>15600</v>
      </c>
    </row>
    <row r="81" customFormat="false" ht="15" hidden="false" customHeight="false" outlineLevel="0" collapsed="false">
      <c r="A81" s="20" t="n">
        <v>1080</v>
      </c>
      <c r="B81" s="21" t="s">
        <v>277</v>
      </c>
      <c r="C81" s="22" t="s">
        <v>278</v>
      </c>
      <c r="D81" s="22" t="s">
        <v>45</v>
      </c>
      <c r="E81" s="22" t="s">
        <v>52</v>
      </c>
      <c r="F81" s="22" t="s">
        <v>53</v>
      </c>
      <c r="G81" s="22" t="s">
        <v>34</v>
      </c>
      <c r="H81" s="22" t="s">
        <v>279</v>
      </c>
      <c r="I81" s="20" t="n">
        <v>3</v>
      </c>
      <c r="J81" s="23" t="n">
        <v>18000</v>
      </c>
      <c r="K81" s="24" t="n">
        <v>0.05</v>
      </c>
      <c r="L81" s="25" t="n">
        <v>51300</v>
      </c>
      <c r="M81" s="25" t="n">
        <v>36000</v>
      </c>
      <c r="N81" s="25" t="n">
        <v>15300</v>
      </c>
    </row>
    <row r="82" customFormat="false" ht="15" hidden="false" customHeight="false" outlineLevel="0" collapsed="false">
      <c r="A82" s="14" t="n">
        <v>1081</v>
      </c>
      <c r="B82" s="15" t="s">
        <v>280</v>
      </c>
      <c r="C82" s="16" t="s">
        <v>44</v>
      </c>
      <c r="D82" s="16" t="s">
        <v>45</v>
      </c>
      <c r="E82" s="16" t="s">
        <v>46</v>
      </c>
      <c r="F82" s="16" t="s">
        <v>47</v>
      </c>
      <c r="G82" s="16" t="s">
        <v>48</v>
      </c>
      <c r="H82" s="16" t="s">
        <v>281</v>
      </c>
      <c r="I82" s="14" t="n">
        <v>50</v>
      </c>
      <c r="J82" s="17" t="n">
        <v>80</v>
      </c>
      <c r="K82" s="18" t="n">
        <v>0</v>
      </c>
      <c r="L82" s="19" t="n">
        <v>4000</v>
      </c>
      <c r="M82" s="19" t="n">
        <v>1800</v>
      </c>
      <c r="N82" s="19" t="n">
        <v>2200</v>
      </c>
    </row>
    <row r="83" customFormat="false" ht="15" hidden="false" customHeight="false" outlineLevel="0" collapsed="false">
      <c r="A83" s="20" t="n">
        <v>1082</v>
      </c>
      <c r="B83" s="21" t="s">
        <v>282</v>
      </c>
      <c r="C83" s="22" t="s">
        <v>124</v>
      </c>
      <c r="D83" s="22" t="s">
        <v>38</v>
      </c>
      <c r="E83" s="22" t="s">
        <v>52</v>
      </c>
      <c r="F83" s="22" t="s">
        <v>74</v>
      </c>
      <c r="G83" s="22" t="s">
        <v>34</v>
      </c>
      <c r="H83" s="22" t="s">
        <v>35</v>
      </c>
      <c r="I83" s="20" t="n">
        <v>1</v>
      </c>
      <c r="J83" s="23" t="n">
        <v>85000</v>
      </c>
      <c r="K83" s="24" t="n">
        <v>0.05</v>
      </c>
      <c r="L83" s="25" t="n">
        <v>80750</v>
      </c>
      <c r="M83" s="25" t="n">
        <v>60000</v>
      </c>
      <c r="N83" s="25" t="n">
        <v>20750</v>
      </c>
    </row>
    <row r="84" customFormat="false" ht="15" hidden="false" customHeight="false" outlineLevel="0" collapsed="false">
      <c r="A84" s="14" t="n">
        <v>1083</v>
      </c>
      <c r="B84" s="15" t="s">
        <v>283</v>
      </c>
      <c r="C84" s="16" t="s">
        <v>87</v>
      </c>
      <c r="D84" s="16" t="s">
        <v>31</v>
      </c>
      <c r="E84" s="16" t="s">
        <v>46</v>
      </c>
      <c r="F84" s="16" t="s">
        <v>67</v>
      </c>
      <c r="G84" s="16" t="s">
        <v>41</v>
      </c>
      <c r="H84" s="16" t="s">
        <v>284</v>
      </c>
      <c r="I84" s="14" t="n">
        <v>2</v>
      </c>
      <c r="J84" s="17" t="n">
        <v>48000</v>
      </c>
      <c r="K84" s="18" t="n">
        <v>0.08</v>
      </c>
      <c r="L84" s="19" t="n">
        <v>88320</v>
      </c>
      <c r="M84" s="19" t="n">
        <v>66000</v>
      </c>
      <c r="N84" s="19" t="n">
        <v>22320</v>
      </c>
    </row>
    <row r="85" customFormat="false" ht="15" hidden="false" customHeight="false" outlineLevel="0" collapsed="false">
      <c r="A85" s="20" t="n">
        <v>1084</v>
      </c>
      <c r="B85" s="21" t="s">
        <v>285</v>
      </c>
      <c r="C85" s="22" t="s">
        <v>136</v>
      </c>
      <c r="D85" s="22" t="s">
        <v>45</v>
      </c>
      <c r="E85" s="22" t="s">
        <v>32</v>
      </c>
      <c r="F85" s="22" t="s">
        <v>33</v>
      </c>
      <c r="G85" s="22" t="s">
        <v>34</v>
      </c>
      <c r="H85" s="22" t="s">
        <v>286</v>
      </c>
      <c r="I85" s="20" t="n">
        <v>3</v>
      </c>
      <c r="J85" s="23" t="n">
        <v>8500</v>
      </c>
      <c r="K85" s="24" t="n">
        <v>0</v>
      </c>
      <c r="L85" s="25" t="n">
        <v>25500</v>
      </c>
      <c r="M85" s="25" t="n">
        <v>16000</v>
      </c>
      <c r="N85" s="25" t="n">
        <v>9500</v>
      </c>
    </row>
    <row r="86" customFormat="false" ht="15" hidden="false" customHeight="false" outlineLevel="0" collapsed="false">
      <c r="A86" s="14" t="n">
        <v>1085</v>
      </c>
      <c r="B86" s="15" t="s">
        <v>287</v>
      </c>
      <c r="C86" s="16" t="s">
        <v>288</v>
      </c>
      <c r="D86" s="16" t="s">
        <v>31</v>
      </c>
      <c r="E86" s="16" t="s">
        <v>39</v>
      </c>
      <c r="F86" s="16" t="s">
        <v>40</v>
      </c>
      <c r="G86" s="16" t="s">
        <v>48</v>
      </c>
      <c r="H86" s="16" t="s">
        <v>289</v>
      </c>
      <c r="I86" s="14" t="n">
        <v>1</v>
      </c>
      <c r="J86" s="17" t="n">
        <v>45000</v>
      </c>
      <c r="K86" s="18" t="n">
        <v>0.1</v>
      </c>
      <c r="L86" s="19" t="n">
        <v>40500</v>
      </c>
      <c r="M86" s="19" t="n">
        <v>30000</v>
      </c>
      <c r="N86" s="19" t="n">
        <v>10500</v>
      </c>
    </row>
    <row r="87" customFormat="false" ht="15" hidden="false" customHeight="false" outlineLevel="0" collapsed="false">
      <c r="A87" s="20" t="n">
        <v>1086</v>
      </c>
      <c r="B87" s="21" t="s">
        <v>290</v>
      </c>
      <c r="C87" s="22" t="s">
        <v>156</v>
      </c>
      <c r="D87" s="22" t="s">
        <v>38</v>
      </c>
      <c r="E87" s="22" t="s">
        <v>46</v>
      </c>
      <c r="F87" s="22" t="s">
        <v>103</v>
      </c>
      <c r="G87" s="22" t="s">
        <v>41</v>
      </c>
      <c r="H87" s="22" t="s">
        <v>291</v>
      </c>
      <c r="I87" s="20" t="n">
        <v>3</v>
      </c>
      <c r="J87" s="23" t="n">
        <v>15000</v>
      </c>
      <c r="K87" s="24" t="n">
        <v>0.05</v>
      </c>
      <c r="L87" s="25" t="n">
        <v>42750</v>
      </c>
      <c r="M87" s="25" t="n">
        <v>30000</v>
      </c>
      <c r="N87" s="25" t="n">
        <v>12750</v>
      </c>
    </row>
    <row r="88" customFormat="false" ht="15" hidden="false" customHeight="false" outlineLevel="0" collapsed="false">
      <c r="A88" s="14" t="n">
        <v>1087</v>
      </c>
      <c r="B88" s="15" t="s">
        <v>292</v>
      </c>
      <c r="C88" s="16" t="s">
        <v>141</v>
      </c>
      <c r="D88" s="16" t="s">
        <v>38</v>
      </c>
      <c r="E88" s="16" t="s">
        <v>39</v>
      </c>
      <c r="F88" s="16" t="s">
        <v>40</v>
      </c>
      <c r="G88" s="16" t="s">
        <v>34</v>
      </c>
      <c r="H88" s="16" t="s">
        <v>293</v>
      </c>
      <c r="I88" s="14" t="n">
        <v>2</v>
      </c>
      <c r="J88" s="17" t="n">
        <v>38000</v>
      </c>
      <c r="K88" s="18" t="n">
        <v>0.05</v>
      </c>
      <c r="L88" s="19" t="n">
        <v>72200</v>
      </c>
      <c r="M88" s="19" t="n">
        <v>54000</v>
      </c>
      <c r="N88" s="19" t="n">
        <v>18200</v>
      </c>
    </row>
    <row r="89" customFormat="false" ht="15" hidden="false" customHeight="false" outlineLevel="0" collapsed="false">
      <c r="A89" s="20" t="n">
        <v>1088</v>
      </c>
      <c r="B89" s="21" t="s">
        <v>294</v>
      </c>
      <c r="C89" s="22" t="s">
        <v>51</v>
      </c>
      <c r="D89" s="22" t="s">
        <v>38</v>
      </c>
      <c r="E89" s="22" t="s">
        <v>52</v>
      </c>
      <c r="F89" s="22" t="s">
        <v>53</v>
      </c>
      <c r="G89" s="22" t="s">
        <v>48</v>
      </c>
      <c r="H89" s="22" t="s">
        <v>295</v>
      </c>
      <c r="I89" s="20" t="n">
        <v>4</v>
      </c>
      <c r="J89" s="23" t="n">
        <v>3500</v>
      </c>
      <c r="K89" s="24" t="n">
        <v>0</v>
      </c>
      <c r="L89" s="25" t="n">
        <v>14000</v>
      </c>
      <c r="M89" s="25" t="n">
        <v>7500</v>
      </c>
      <c r="N89" s="25" t="n">
        <v>6500</v>
      </c>
    </row>
    <row r="90" customFormat="false" ht="15" hidden="false" customHeight="false" outlineLevel="0" collapsed="false">
      <c r="A90" s="14" t="n">
        <v>1089</v>
      </c>
      <c r="B90" s="15" t="s">
        <v>296</v>
      </c>
      <c r="C90" s="16" t="s">
        <v>159</v>
      </c>
      <c r="D90" s="16" t="s">
        <v>45</v>
      </c>
      <c r="E90" s="16" t="s">
        <v>32</v>
      </c>
      <c r="F90" s="16" t="s">
        <v>33</v>
      </c>
      <c r="G90" s="16" t="s">
        <v>34</v>
      </c>
      <c r="H90" s="16" t="s">
        <v>297</v>
      </c>
      <c r="I90" s="14" t="n">
        <v>5</v>
      </c>
      <c r="J90" s="17" t="n">
        <v>9500</v>
      </c>
      <c r="K90" s="18" t="n">
        <v>0</v>
      </c>
      <c r="L90" s="19" t="n">
        <v>47500</v>
      </c>
      <c r="M90" s="19" t="n">
        <v>34000</v>
      </c>
      <c r="N90" s="19" t="n">
        <v>13500</v>
      </c>
    </row>
    <row r="91" customFormat="false" ht="15" hidden="false" customHeight="false" outlineLevel="0" collapsed="false">
      <c r="A91" s="20" t="n">
        <v>1090</v>
      </c>
      <c r="B91" s="21" t="s">
        <v>298</v>
      </c>
      <c r="C91" s="22" t="s">
        <v>153</v>
      </c>
      <c r="D91" s="22" t="s">
        <v>31</v>
      </c>
      <c r="E91" s="22" t="s">
        <v>39</v>
      </c>
      <c r="F91" s="22" t="s">
        <v>40</v>
      </c>
      <c r="G91" s="22" t="s">
        <v>41</v>
      </c>
      <c r="H91" s="22" t="s">
        <v>299</v>
      </c>
      <c r="I91" s="20" t="n">
        <v>3</v>
      </c>
      <c r="J91" s="23" t="n">
        <v>38000</v>
      </c>
      <c r="K91" s="24" t="n">
        <v>0.1</v>
      </c>
      <c r="L91" s="25" t="n">
        <v>102600</v>
      </c>
      <c r="M91" s="25" t="n">
        <v>78000</v>
      </c>
      <c r="N91" s="25" t="n">
        <v>24600</v>
      </c>
    </row>
    <row r="92" customFormat="false" ht="15" hidden="false" customHeight="false" outlineLevel="0" collapsed="false">
      <c r="A92" s="14" t="n">
        <v>1091</v>
      </c>
      <c r="B92" s="15" t="s">
        <v>300</v>
      </c>
      <c r="C92" s="16" t="s">
        <v>186</v>
      </c>
      <c r="D92" s="16" t="s">
        <v>45</v>
      </c>
      <c r="E92" s="16" t="s">
        <v>46</v>
      </c>
      <c r="F92" s="16" t="s">
        <v>47</v>
      </c>
      <c r="G92" s="16" t="s">
        <v>34</v>
      </c>
      <c r="H92" s="16" t="s">
        <v>301</v>
      </c>
      <c r="I92" s="14" t="n">
        <v>2</v>
      </c>
      <c r="J92" s="17" t="n">
        <v>32000</v>
      </c>
      <c r="K92" s="18" t="n">
        <v>0.05</v>
      </c>
      <c r="L92" s="19" t="n">
        <v>60800</v>
      </c>
      <c r="M92" s="19" t="n">
        <v>46000</v>
      </c>
      <c r="N92" s="19" t="n">
        <v>14800</v>
      </c>
    </row>
    <row r="93" customFormat="false" ht="15" hidden="false" customHeight="false" outlineLevel="0" collapsed="false">
      <c r="A93" s="20" t="n">
        <v>1092</v>
      </c>
      <c r="B93" s="21" t="s">
        <v>302</v>
      </c>
      <c r="C93" s="22" t="s">
        <v>127</v>
      </c>
      <c r="D93" s="22" t="s">
        <v>45</v>
      </c>
      <c r="E93" s="22" t="s">
        <v>46</v>
      </c>
      <c r="F93" s="22" t="s">
        <v>67</v>
      </c>
      <c r="G93" s="22" t="s">
        <v>48</v>
      </c>
      <c r="H93" s="22" t="s">
        <v>303</v>
      </c>
      <c r="I93" s="20" t="n">
        <v>1</v>
      </c>
      <c r="J93" s="23" t="n">
        <v>85000</v>
      </c>
      <c r="K93" s="24" t="n">
        <v>0.08</v>
      </c>
      <c r="L93" s="25" t="n">
        <v>78200</v>
      </c>
      <c r="M93" s="25" t="n">
        <v>60000</v>
      </c>
      <c r="N93" s="25" t="n">
        <v>18200</v>
      </c>
    </row>
    <row r="94" customFormat="false" ht="15" hidden="false" customHeight="false" outlineLevel="0" collapsed="false">
      <c r="A94" s="14" t="n">
        <v>1093</v>
      </c>
      <c r="B94" s="15" t="s">
        <v>304</v>
      </c>
      <c r="C94" s="16" t="s">
        <v>174</v>
      </c>
      <c r="D94" s="16" t="s">
        <v>38</v>
      </c>
      <c r="E94" s="16" t="s">
        <v>39</v>
      </c>
      <c r="F94" s="16" t="s">
        <v>40</v>
      </c>
      <c r="G94" s="16" t="s">
        <v>41</v>
      </c>
      <c r="H94" s="16" t="s">
        <v>305</v>
      </c>
      <c r="I94" s="14" t="n">
        <v>1</v>
      </c>
      <c r="J94" s="17" t="n">
        <v>145000</v>
      </c>
      <c r="K94" s="18" t="n">
        <v>0.1</v>
      </c>
      <c r="L94" s="19" t="n">
        <v>130500</v>
      </c>
      <c r="M94" s="19" t="n">
        <v>102000</v>
      </c>
      <c r="N94" s="19" t="n">
        <v>28500</v>
      </c>
    </row>
    <row r="95" customFormat="false" ht="15" hidden="false" customHeight="false" outlineLevel="0" collapsed="false">
      <c r="A95" s="20" t="n">
        <v>1094</v>
      </c>
      <c r="B95" s="21" t="s">
        <v>306</v>
      </c>
      <c r="C95" s="22" t="s">
        <v>206</v>
      </c>
      <c r="D95" s="22" t="s">
        <v>31</v>
      </c>
      <c r="E95" s="22" t="s">
        <v>32</v>
      </c>
      <c r="F95" s="22" t="s">
        <v>33</v>
      </c>
      <c r="G95" s="22" t="s">
        <v>34</v>
      </c>
      <c r="H95" s="22" t="s">
        <v>35</v>
      </c>
      <c r="I95" s="20" t="n">
        <v>4</v>
      </c>
      <c r="J95" s="23" t="n">
        <v>85000</v>
      </c>
      <c r="K95" s="24" t="n">
        <v>0.05</v>
      </c>
      <c r="L95" s="25" t="n">
        <v>323000</v>
      </c>
      <c r="M95" s="25" t="n">
        <v>240000</v>
      </c>
      <c r="N95" s="25" t="n">
        <v>83000</v>
      </c>
    </row>
    <row r="96" customFormat="false" ht="15" hidden="false" customHeight="false" outlineLevel="0" collapsed="false">
      <c r="A96" s="14" t="n">
        <v>1095</v>
      </c>
      <c r="B96" s="15" t="s">
        <v>307</v>
      </c>
      <c r="C96" s="16" t="s">
        <v>180</v>
      </c>
      <c r="D96" s="16" t="s">
        <v>31</v>
      </c>
      <c r="E96" s="16" t="s">
        <v>52</v>
      </c>
      <c r="F96" s="16" t="s">
        <v>74</v>
      </c>
      <c r="G96" s="16" t="s">
        <v>48</v>
      </c>
      <c r="H96" s="16" t="s">
        <v>308</v>
      </c>
      <c r="I96" s="14" t="n">
        <v>6</v>
      </c>
      <c r="J96" s="17" t="n">
        <v>4500</v>
      </c>
      <c r="K96" s="18" t="n">
        <v>0.05</v>
      </c>
      <c r="L96" s="19" t="n">
        <v>25650</v>
      </c>
      <c r="M96" s="19" t="n">
        <v>16000</v>
      </c>
      <c r="N96" s="19" t="n">
        <v>9650</v>
      </c>
    </row>
    <row r="97" customFormat="false" ht="15" hidden="false" customHeight="false" outlineLevel="0" collapsed="false">
      <c r="A97" s="20" t="n">
        <v>1096</v>
      </c>
      <c r="B97" s="21" t="s">
        <v>309</v>
      </c>
      <c r="C97" s="22" t="s">
        <v>168</v>
      </c>
      <c r="D97" s="22" t="s">
        <v>45</v>
      </c>
      <c r="E97" s="22" t="s">
        <v>32</v>
      </c>
      <c r="F97" s="22" t="s">
        <v>63</v>
      </c>
      <c r="G97" s="22" t="s">
        <v>34</v>
      </c>
      <c r="H97" s="22" t="s">
        <v>310</v>
      </c>
      <c r="I97" s="20" t="n">
        <v>4</v>
      </c>
      <c r="J97" s="23" t="n">
        <v>12000</v>
      </c>
      <c r="K97" s="24" t="n">
        <v>0</v>
      </c>
      <c r="L97" s="25" t="n">
        <v>48000</v>
      </c>
      <c r="M97" s="25" t="n">
        <v>34000</v>
      </c>
      <c r="N97" s="25" t="n">
        <v>14000</v>
      </c>
    </row>
    <row r="98" customFormat="false" ht="15" hidden="false" customHeight="false" outlineLevel="0" collapsed="false">
      <c r="A98" s="14" t="n">
        <v>1097</v>
      </c>
      <c r="B98" s="15" t="s">
        <v>311</v>
      </c>
      <c r="C98" s="16" t="s">
        <v>165</v>
      </c>
      <c r="D98" s="16" t="s">
        <v>38</v>
      </c>
      <c r="E98" s="16" t="s">
        <v>39</v>
      </c>
      <c r="F98" s="16" t="s">
        <v>40</v>
      </c>
      <c r="G98" s="16" t="s">
        <v>41</v>
      </c>
      <c r="H98" s="16" t="s">
        <v>312</v>
      </c>
      <c r="I98" s="14" t="n">
        <v>1</v>
      </c>
      <c r="J98" s="17" t="n">
        <v>42000</v>
      </c>
      <c r="K98" s="18" t="n">
        <v>0.08</v>
      </c>
      <c r="L98" s="19" t="n">
        <v>38640</v>
      </c>
      <c r="M98" s="19" t="n">
        <v>30000</v>
      </c>
      <c r="N98" s="19" t="n">
        <v>8640</v>
      </c>
    </row>
    <row r="99" customFormat="false" ht="15" hidden="false" customHeight="false" outlineLevel="0" collapsed="false">
      <c r="A99" s="20" t="n">
        <v>1098</v>
      </c>
      <c r="B99" s="21" t="s">
        <v>313</v>
      </c>
      <c r="C99" s="22" t="s">
        <v>212</v>
      </c>
      <c r="D99" s="22" t="s">
        <v>45</v>
      </c>
      <c r="E99" s="22" t="s">
        <v>39</v>
      </c>
      <c r="F99" s="22" t="s">
        <v>40</v>
      </c>
      <c r="G99" s="22" t="s">
        <v>34</v>
      </c>
      <c r="H99" s="22" t="s">
        <v>314</v>
      </c>
      <c r="I99" s="20" t="n">
        <v>1</v>
      </c>
      <c r="J99" s="23" t="n">
        <v>75000</v>
      </c>
      <c r="K99" s="24" t="n">
        <v>0.05</v>
      </c>
      <c r="L99" s="25" t="n">
        <v>71250</v>
      </c>
      <c r="M99" s="25" t="n">
        <v>54000</v>
      </c>
      <c r="N99" s="25" t="n">
        <v>17250</v>
      </c>
    </row>
    <row r="100" customFormat="false" ht="15" hidden="false" customHeight="false" outlineLevel="0" collapsed="false">
      <c r="A100" s="14" t="n">
        <v>1099</v>
      </c>
      <c r="B100" s="15" t="s">
        <v>315</v>
      </c>
      <c r="C100" s="16" t="s">
        <v>37</v>
      </c>
      <c r="D100" s="16" t="s">
        <v>38</v>
      </c>
      <c r="E100" s="16" t="s">
        <v>39</v>
      </c>
      <c r="F100" s="16" t="s">
        <v>40</v>
      </c>
      <c r="G100" s="16" t="s">
        <v>48</v>
      </c>
      <c r="H100" s="16" t="s">
        <v>316</v>
      </c>
      <c r="I100" s="14" t="n">
        <v>10</v>
      </c>
      <c r="J100" s="17" t="n">
        <v>300</v>
      </c>
      <c r="K100" s="18" t="n">
        <v>0</v>
      </c>
      <c r="L100" s="19" t="n">
        <v>3000</v>
      </c>
      <c r="M100" s="19" t="n">
        <v>1200</v>
      </c>
      <c r="N100" s="19" t="n">
        <v>1800</v>
      </c>
    </row>
    <row r="101" customFormat="false" ht="15" hidden="false" customHeight="false" outlineLevel="0" collapsed="false">
      <c r="A101" s="20" t="n">
        <v>1100</v>
      </c>
      <c r="B101" s="21" t="s">
        <v>317</v>
      </c>
      <c r="C101" s="22" t="s">
        <v>62</v>
      </c>
      <c r="D101" s="22" t="s">
        <v>45</v>
      </c>
      <c r="E101" s="22" t="s">
        <v>32</v>
      </c>
      <c r="F101" s="22" t="s">
        <v>63</v>
      </c>
      <c r="G101" s="22" t="s">
        <v>41</v>
      </c>
      <c r="H101" s="22" t="s">
        <v>318</v>
      </c>
      <c r="I101" s="20" t="n">
        <v>3</v>
      </c>
      <c r="J101" s="23" t="n">
        <v>6500</v>
      </c>
      <c r="K101" s="24" t="n">
        <v>0</v>
      </c>
      <c r="L101" s="25" t="n">
        <v>19500</v>
      </c>
      <c r="M101" s="25" t="n">
        <v>11000</v>
      </c>
      <c r="N101" s="25" t="n">
        <v>8500</v>
      </c>
    </row>
    <row r="102" customFormat="false" ht="15" hidden="false" customHeight="false" outlineLevel="0" collapsed="false">
      <c r="A102" s="14" t="n">
        <v>1101</v>
      </c>
      <c r="B102" s="15" t="s">
        <v>319</v>
      </c>
      <c r="C102" s="16" t="s">
        <v>73</v>
      </c>
      <c r="D102" s="16" t="s">
        <v>31</v>
      </c>
      <c r="E102" s="16" t="s">
        <v>52</v>
      </c>
      <c r="F102" s="16" t="s">
        <v>74</v>
      </c>
      <c r="G102" s="16" t="s">
        <v>34</v>
      </c>
      <c r="H102" s="16" t="s">
        <v>320</v>
      </c>
      <c r="I102" s="14" t="n">
        <v>2</v>
      </c>
      <c r="J102" s="17" t="n">
        <v>28000</v>
      </c>
      <c r="K102" s="18" t="n">
        <v>0.05</v>
      </c>
      <c r="L102" s="19" t="n">
        <v>53200</v>
      </c>
      <c r="M102" s="19" t="n">
        <v>40000</v>
      </c>
      <c r="N102" s="19" t="n">
        <v>13200</v>
      </c>
    </row>
    <row r="103" customFormat="false" ht="15" hidden="false" customHeight="false" outlineLevel="0" collapsed="false">
      <c r="A103" s="20" t="n">
        <v>1102</v>
      </c>
      <c r="B103" s="21" t="s">
        <v>321</v>
      </c>
      <c r="C103" s="22" t="s">
        <v>209</v>
      </c>
      <c r="D103" s="22" t="s">
        <v>38</v>
      </c>
      <c r="E103" s="22" t="s">
        <v>52</v>
      </c>
      <c r="F103" s="22" t="s">
        <v>74</v>
      </c>
      <c r="G103" s="22" t="s">
        <v>41</v>
      </c>
      <c r="H103" s="22" t="s">
        <v>322</v>
      </c>
      <c r="I103" s="20" t="n">
        <v>1</v>
      </c>
      <c r="J103" s="23" t="n">
        <v>180000</v>
      </c>
      <c r="K103" s="24" t="n">
        <v>0.12</v>
      </c>
      <c r="L103" s="25" t="n">
        <v>158400</v>
      </c>
      <c r="M103" s="25" t="n">
        <v>130000</v>
      </c>
      <c r="N103" s="25" t="n">
        <v>28400</v>
      </c>
    </row>
    <row r="104" customFormat="false" ht="15" hidden="false" customHeight="false" outlineLevel="0" collapsed="false">
      <c r="A104" s="14" t="n">
        <v>1103</v>
      </c>
      <c r="B104" s="15" t="s">
        <v>323</v>
      </c>
      <c r="C104" s="16" t="s">
        <v>171</v>
      </c>
      <c r="D104" s="16" t="s">
        <v>31</v>
      </c>
      <c r="E104" s="16" t="s">
        <v>46</v>
      </c>
      <c r="F104" s="16" t="s">
        <v>67</v>
      </c>
      <c r="G104" s="16" t="s">
        <v>48</v>
      </c>
      <c r="H104" s="16" t="s">
        <v>324</v>
      </c>
      <c r="I104" s="14" t="n">
        <v>1</v>
      </c>
      <c r="J104" s="17" t="n">
        <v>120000</v>
      </c>
      <c r="K104" s="18" t="n">
        <v>0.08</v>
      </c>
      <c r="L104" s="19" t="n">
        <v>110400</v>
      </c>
      <c r="M104" s="19" t="n">
        <v>85000</v>
      </c>
      <c r="N104" s="19" t="n">
        <v>25400</v>
      </c>
    </row>
    <row r="105" customFormat="false" ht="15" hidden="false" customHeight="false" outlineLevel="0" collapsed="false">
      <c r="A105" s="20" t="n">
        <v>1104</v>
      </c>
      <c r="B105" s="21" t="s">
        <v>325</v>
      </c>
      <c r="C105" s="22" t="s">
        <v>162</v>
      </c>
      <c r="D105" s="22" t="s">
        <v>31</v>
      </c>
      <c r="E105" s="22" t="s">
        <v>52</v>
      </c>
      <c r="F105" s="22" t="s">
        <v>53</v>
      </c>
      <c r="G105" s="22" t="s">
        <v>34</v>
      </c>
      <c r="H105" s="22" t="s">
        <v>326</v>
      </c>
      <c r="I105" s="20" t="n">
        <v>1</v>
      </c>
      <c r="J105" s="23" t="n">
        <v>95000</v>
      </c>
      <c r="K105" s="24" t="n">
        <v>0.1</v>
      </c>
      <c r="L105" s="25" t="n">
        <v>85500</v>
      </c>
      <c r="M105" s="25" t="n">
        <v>68000</v>
      </c>
      <c r="N105" s="25" t="n">
        <v>17500</v>
      </c>
    </row>
    <row r="106" customFormat="false" ht="15" hidden="false" customHeight="false" outlineLevel="0" collapsed="false">
      <c r="A106" s="14" t="n">
        <v>1105</v>
      </c>
      <c r="B106" s="15" t="s">
        <v>327</v>
      </c>
      <c r="C106" s="16" t="s">
        <v>192</v>
      </c>
      <c r="D106" s="16" t="s">
        <v>38</v>
      </c>
      <c r="E106" s="16" t="s">
        <v>32</v>
      </c>
      <c r="F106" s="16" t="s">
        <v>33</v>
      </c>
      <c r="G106" s="16" t="s">
        <v>41</v>
      </c>
      <c r="H106" s="16" t="s">
        <v>328</v>
      </c>
      <c r="I106" s="14" t="n">
        <v>2</v>
      </c>
      <c r="J106" s="17" t="n">
        <v>18500</v>
      </c>
      <c r="K106" s="18" t="n">
        <v>0.05</v>
      </c>
      <c r="L106" s="19" t="n">
        <v>35150</v>
      </c>
      <c r="M106" s="19" t="n">
        <v>24000</v>
      </c>
      <c r="N106" s="19" t="n">
        <v>11150</v>
      </c>
    </row>
    <row r="107" customFormat="false" ht="15" hidden="false" customHeight="false" outlineLevel="0" collapsed="false">
      <c r="A107" s="20" t="n">
        <v>1106</v>
      </c>
      <c r="B107" s="21" t="s">
        <v>329</v>
      </c>
      <c r="C107" s="22" t="s">
        <v>200</v>
      </c>
      <c r="D107" s="22" t="s">
        <v>38</v>
      </c>
      <c r="E107" s="22" t="s">
        <v>39</v>
      </c>
      <c r="F107" s="22" t="s">
        <v>40</v>
      </c>
      <c r="G107" s="22" t="s">
        <v>34</v>
      </c>
      <c r="H107" s="22" t="s">
        <v>330</v>
      </c>
      <c r="I107" s="20" t="n">
        <v>8</v>
      </c>
      <c r="J107" s="23" t="n">
        <v>8500</v>
      </c>
      <c r="K107" s="24" t="n">
        <v>0.1</v>
      </c>
      <c r="L107" s="25" t="n">
        <v>61200</v>
      </c>
      <c r="M107" s="25" t="n">
        <v>44000</v>
      </c>
      <c r="N107" s="25" t="n">
        <v>17200</v>
      </c>
    </row>
    <row r="108" customFormat="false" ht="15" hidden="false" customHeight="false" outlineLevel="0" collapsed="false">
      <c r="A108" s="14" t="n">
        <v>1107</v>
      </c>
      <c r="B108" s="15" t="s">
        <v>331</v>
      </c>
      <c r="C108" s="16" t="s">
        <v>130</v>
      </c>
      <c r="D108" s="16" t="s">
        <v>31</v>
      </c>
      <c r="E108" s="16" t="s">
        <v>32</v>
      </c>
      <c r="F108" s="16" t="s">
        <v>63</v>
      </c>
      <c r="G108" s="16" t="s">
        <v>48</v>
      </c>
      <c r="H108" s="16" t="s">
        <v>332</v>
      </c>
      <c r="I108" s="14" t="n">
        <v>1</v>
      </c>
      <c r="J108" s="17" t="n">
        <v>35000</v>
      </c>
      <c r="K108" s="18" t="n">
        <v>0.05</v>
      </c>
      <c r="L108" s="19" t="n">
        <v>33250</v>
      </c>
      <c r="M108" s="19" t="n">
        <v>24000</v>
      </c>
      <c r="N108" s="19" t="n">
        <v>9250</v>
      </c>
    </row>
    <row r="109" customFormat="false" ht="15" hidden="false" customHeight="false" outlineLevel="0" collapsed="false">
      <c r="A109" s="20" t="n">
        <v>1108</v>
      </c>
      <c r="B109" s="21" t="s">
        <v>333</v>
      </c>
      <c r="C109" s="22" t="s">
        <v>278</v>
      </c>
      <c r="D109" s="22" t="s">
        <v>45</v>
      </c>
      <c r="E109" s="22" t="s">
        <v>52</v>
      </c>
      <c r="F109" s="22" t="s">
        <v>53</v>
      </c>
      <c r="G109" s="22" t="s">
        <v>34</v>
      </c>
      <c r="H109" s="22" t="s">
        <v>35</v>
      </c>
      <c r="I109" s="20" t="n">
        <v>1</v>
      </c>
      <c r="J109" s="23" t="n">
        <v>85000</v>
      </c>
      <c r="K109" s="24" t="n">
        <v>0.05</v>
      </c>
      <c r="L109" s="25" t="n">
        <v>80750</v>
      </c>
      <c r="M109" s="25" t="n">
        <v>60000</v>
      </c>
      <c r="N109" s="25" t="n">
        <v>20750</v>
      </c>
    </row>
    <row r="110" customFormat="false" ht="15" hidden="false" customHeight="false" outlineLevel="0" collapsed="false">
      <c r="A110" s="14" t="n">
        <v>1109</v>
      </c>
      <c r="B110" s="15" t="s">
        <v>334</v>
      </c>
      <c r="C110" s="16" t="s">
        <v>221</v>
      </c>
      <c r="D110" s="16" t="s">
        <v>45</v>
      </c>
      <c r="E110" s="16" t="s">
        <v>52</v>
      </c>
      <c r="F110" s="16" t="s">
        <v>53</v>
      </c>
      <c r="G110" s="16" t="s">
        <v>41</v>
      </c>
      <c r="H110" s="16" t="s">
        <v>335</v>
      </c>
      <c r="I110" s="14" t="n">
        <v>4</v>
      </c>
      <c r="J110" s="17" t="n">
        <v>8000</v>
      </c>
      <c r="K110" s="18" t="n">
        <v>0.08</v>
      </c>
      <c r="L110" s="19" t="n">
        <v>29440</v>
      </c>
      <c r="M110" s="19" t="n">
        <v>20000</v>
      </c>
      <c r="N110" s="19" t="n">
        <v>9440</v>
      </c>
    </row>
    <row r="111" customFormat="false" ht="15" hidden="false" customHeight="false" outlineLevel="0" collapsed="false">
      <c r="A111" s="20" t="n">
        <v>1110</v>
      </c>
      <c r="B111" s="21" t="s">
        <v>336</v>
      </c>
      <c r="C111" s="22" t="s">
        <v>224</v>
      </c>
      <c r="D111" s="22" t="s">
        <v>31</v>
      </c>
      <c r="E111" s="22" t="s">
        <v>39</v>
      </c>
      <c r="F111" s="22" t="s">
        <v>40</v>
      </c>
      <c r="G111" s="22" t="s">
        <v>34</v>
      </c>
      <c r="H111" s="22" t="s">
        <v>337</v>
      </c>
      <c r="I111" s="20" t="n">
        <v>2</v>
      </c>
      <c r="J111" s="23" t="n">
        <v>45000</v>
      </c>
      <c r="K111" s="24" t="n">
        <v>0.08</v>
      </c>
      <c r="L111" s="25" t="n">
        <v>82800</v>
      </c>
      <c r="M111" s="25" t="n">
        <v>64000</v>
      </c>
      <c r="N111" s="25" t="n">
        <v>18800</v>
      </c>
    </row>
    <row r="112" customFormat="false" ht="15" hidden="false" customHeight="false" outlineLevel="0" collapsed="false">
      <c r="A112" s="14" t="n">
        <v>1111</v>
      </c>
      <c r="B112" s="15" t="s">
        <v>338</v>
      </c>
      <c r="C112" s="16" t="s">
        <v>30</v>
      </c>
      <c r="D112" s="16" t="s">
        <v>31</v>
      </c>
      <c r="E112" s="16" t="s">
        <v>32</v>
      </c>
      <c r="F112" s="16" t="s">
        <v>33</v>
      </c>
      <c r="G112" s="16" t="s">
        <v>34</v>
      </c>
      <c r="H112" s="16" t="s">
        <v>35</v>
      </c>
      <c r="I112" s="14" t="n">
        <v>5</v>
      </c>
      <c r="J112" s="17" t="n">
        <v>85000</v>
      </c>
      <c r="K112" s="18" t="n">
        <v>0.05</v>
      </c>
      <c r="L112" s="19" t="n">
        <v>403750</v>
      </c>
      <c r="M112" s="19" t="n">
        <v>300000</v>
      </c>
      <c r="N112" s="19" t="n">
        <v>103750</v>
      </c>
    </row>
    <row r="113" customFormat="false" ht="15" hidden="false" customHeight="false" outlineLevel="0" collapsed="false">
      <c r="A113" s="20" t="n">
        <v>1112</v>
      </c>
      <c r="B113" s="21" t="s">
        <v>339</v>
      </c>
      <c r="C113" s="22" t="s">
        <v>144</v>
      </c>
      <c r="D113" s="22" t="s">
        <v>31</v>
      </c>
      <c r="E113" s="22" t="s">
        <v>46</v>
      </c>
      <c r="F113" s="22" t="s">
        <v>33</v>
      </c>
      <c r="G113" s="22" t="s">
        <v>41</v>
      </c>
      <c r="H113" s="22" t="s">
        <v>340</v>
      </c>
      <c r="I113" s="20" t="n">
        <v>8</v>
      </c>
      <c r="J113" s="23" t="n">
        <v>22000</v>
      </c>
      <c r="K113" s="24" t="n">
        <v>0.1</v>
      </c>
      <c r="L113" s="25" t="n">
        <v>158400</v>
      </c>
      <c r="M113" s="25" t="n">
        <v>128000</v>
      </c>
      <c r="N113" s="25" t="n">
        <v>30400</v>
      </c>
    </row>
    <row r="114" customFormat="false" ht="15" hidden="false" customHeight="false" outlineLevel="0" collapsed="false">
      <c r="A114" s="14" t="n">
        <v>1113</v>
      </c>
      <c r="B114" s="15" t="s">
        <v>341</v>
      </c>
      <c r="C114" s="16" t="s">
        <v>56</v>
      </c>
      <c r="D114" s="16" t="s">
        <v>31</v>
      </c>
      <c r="E114" s="16" t="s">
        <v>32</v>
      </c>
      <c r="F114" s="16" t="s">
        <v>33</v>
      </c>
      <c r="G114" s="16" t="s">
        <v>48</v>
      </c>
      <c r="H114" s="16" t="s">
        <v>342</v>
      </c>
      <c r="I114" s="14" t="n">
        <v>2</v>
      </c>
      <c r="J114" s="17" t="n">
        <v>18000</v>
      </c>
      <c r="K114" s="18" t="n">
        <v>0.05</v>
      </c>
      <c r="L114" s="19" t="n">
        <v>34200</v>
      </c>
      <c r="M114" s="19" t="n">
        <v>22000</v>
      </c>
      <c r="N114" s="19" t="n">
        <v>12200</v>
      </c>
    </row>
    <row r="115" customFormat="false" ht="15" hidden="false" customHeight="false" outlineLevel="0" collapsed="false">
      <c r="A115" s="20" t="n">
        <v>1114</v>
      </c>
      <c r="B115" s="21" t="s">
        <v>343</v>
      </c>
      <c r="C115" s="22" t="s">
        <v>189</v>
      </c>
      <c r="D115" s="22" t="s">
        <v>31</v>
      </c>
      <c r="E115" s="22" t="s">
        <v>39</v>
      </c>
      <c r="F115" s="22" t="s">
        <v>40</v>
      </c>
      <c r="G115" s="22" t="s">
        <v>34</v>
      </c>
      <c r="H115" s="22" t="s">
        <v>344</v>
      </c>
      <c r="I115" s="20" t="n">
        <v>1</v>
      </c>
      <c r="J115" s="23" t="n">
        <v>180000</v>
      </c>
      <c r="K115" s="24" t="n">
        <v>0.1</v>
      </c>
      <c r="L115" s="25" t="n">
        <v>162000</v>
      </c>
      <c r="M115" s="25" t="n">
        <v>130000</v>
      </c>
      <c r="N115" s="25" t="n">
        <v>32000</v>
      </c>
    </row>
    <row r="116" customFormat="false" ht="15" hidden="false" customHeight="false" outlineLevel="0" collapsed="false">
      <c r="A116" s="14" t="n">
        <v>1115</v>
      </c>
      <c r="B116" s="15" t="s">
        <v>345</v>
      </c>
      <c r="C116" s="16" t="s">
        <v>59</v>
      </c>
      <c r="D116" s="16" t="s">
        <v>38</v>
      </c>
      <c r="E116" s="16" t="s">
        <v>39</v>
      </c>
      <c r="F116" s="16" t="s">
        <v>40</v>
      </c>
      <c r="G116" s="16" t="s">
        <v>41</v>
      </c>
      <c r="H116" s="16" t="s">
        <v>346</v>
      </c>
      <c r="I116" s="14" t="n">
        <v>1</v>
      </c>
      <c r="J116" s="17" t="n">
        <v>120000</v>
      </c>
      <c r="K116" s="18" t="n">
        <v>0.08</v>
      </c>
      <c r="L116" s="19" t="n">
        <v>110400</v>
      </c>
      <c r="M116" s="19" t="n">
        <v>88000</v>
      </c>
      <c r="N116" s="19" t="n">
        <v>22400</v>
      </c>
    </row>
    <row r="117" customFormat="false" ht="15" hidden="false" customHeight="false" outlineLevel="0" collapsed="false">
      <c r="A117" s="20" t="n">
        <v>1116</v>
      </c>
      <c r="B117" s="21" t="s">
        <v>347</v>
      </c>
      <c r="C117" s="22" t="s">
        <v>266</v>
      </c>
      <c r="D117" s="22" t="s">
        <v>38</v>
      </c>
      <c r="E117" s="22" t="s">
        <v>32</v>
      </c>
      <c r="F117" s="22" t="s">
        <v>115</v>
      </c>
      <c r="G117" s="22" t="s">
        <v>34</v>
      </c>
      <c r="H117" s="22" t="s">
        <v>348</v>
      </c>
      <c r="I117" s="20" t="n">
        <v>1</v>
      </c>
      <c r="J117" s="23" t="n">
        <v>130000</v>
      </c>
      <c r="K117" s="24" t="n">
        <v>0.05</v>
      </c>
      <c r="L117" s="25" t="n">
        <v>123500</v>
      </c>
      <c r="M117" s="25" t="n">
        <v>100000</v>
      </c>
      <c r="N117" s="25" t="n">
        <v>23500</v>
      </c>
    </row>
    <row r="118" customFormat="false" ht="15" hidden="false" customHeight="false" outlineLevel="0" collapsed="false">
      <c r="A118" s="14" t="n">
        <v>1117</v>
      </c>
      <c r="B118" s="15" t="s">
        <v>349</v>
      </c>
      <c r="C118" s="16" t="s">
        <v>231</v>
      </c>
      <c r="D118" s="16" t="s">
        <v>45</v>
      </c>
      <c r="E118" s="16" t="s">
        <v>46</v>
      </c>
      <c r="F118" s="16" t="s">
        <v>47</v>
      </c>
      <c r="G118" s="16" t="s">
        <v>48</v>
      </c>
      <c r="H118" s="16" t="s">
        <v>350</v>
      </c>
      <c r="I118" s="14" t="n">
        <v>2</v>
      </c>
      <c r="J118" s="17" t="n">
        <v>7500</v>
      </c>
      <c r="K118" s="18" t="n">
        <v>0</v>
      </c>
      <c r="L118" s="19" t="n">
        <v>15000</v>
      </c>
      <c r="M118" s="19" t="n">
        <v>9000</v>
      </c>
      <c r="N118" s="19" t="n">
        <v>6000</v>
      </c>
    </row>
    <row r="119" customFormat="false" ht="15" hidden="false" customHeight="false" outlineLevel="0" collapsed="false">
      <c r="A119" s="20" t="n">
        <v>1118</v>
      </c>
      <c r="B119" s="21" t="s">
        <v>351</v>
      </c>
      <c r="C119" s="22" t="s">
        <v>96</v>
      </c>
      <c r="D119" s="22" t="s">
        <v>38</v>
      </c>
      <c r="E119" s="22" t="s">
        <v>39</v>
      </c>
      <c r="F119" s="22" t="s">
        <v>40</v>
      </c>
      <c r="G119" s="22" t="s">
        <v>34</v>
      </c>
      <c r="H119" s="22" t="s">
        <v>71</v>
      </c>
      <c r="I119" s="20" t="n">
        <v>4</v>
      </c>
      <c r="J119" s="23" t="n">
        <v>42000</v>
      </c>
      <c r="K119" s="24" t="n">
        <v>0.1</v>
      </c>
      <c r="L119" s="25" t="n">
        <v>151200</v>
      </c>
      <c r="M119" s="25" t="n">
        <v>112000</v>
      </c>
      <c r="N119" s="25" t="n">
        <v>39200</v>
      </c>
    </row>
    <row r="120" customFormat="false" ht="15" hidden="false" customHeight="false" outlineLevel="0" collapsed="false">
      <c r="A120" s="14" t="n">
        <v>1119</v>
      </c>
      <c r="B120" s="15" t="s">
        <v>352</v>
      </c>
      <c r="C120" s="16" t="s">
        <v>245</v>
      </c>
      <c r="D120" s="16" t="s">
        <v>31</v>
      </c>
      <c r="E120" s="16" t="s">
        <v>46</v>
      </c>
      <c r="F120" s="16" t="s">
        <v>67</v>
      </c>
      <c r="G120" s="16" t="s">
        <v>41</v>
      </c>
      <c r="H120" s="16" t="s">
        <v>353</v>
      </c>
      <c r="I120" s="14" t="n">
        <v>1</v>
      </c>
      <c r="J120" s="17" t="n">
        <v>350000</v>
      </c>
      <c r="K120" s="18" t="n">
        <v>0.12</v>
      </c>
      <c r="L120" s="19" t="n">
        <v>308000</v>
      </c>
      <c r="M120" s="19" t="n">
        <v>250000</v>
      </c>
      <c r="N120" s="19" t="n">
        <v>58000</v>
      </c>
    </row>
    <row r="121" customFormat="false" ht="15" hidden="false" customHeight="false" outlineLevel="0" collapsed="false">
      <c r="A121" s="20" t="n">
        <v>1120</v>
      </c>
      <c r="B121" s="21" t="s">
        <v>354</v>
      </c>
      <c r="C121" s="22" t="s">
        <v>195</v>
      </c>
      <c r="D121" s="22" t="s">
        <v>45</v>
      </c>
      <c r="E121" s="22" t="s">
        <v>52</v>
      </c>
      <c r="F121" s="22" t="s">
        <v>53</v>
      </c>
      <c r="G121" s="22" t="s">
        <v>34</v>
      </c>
      <c r="H121" s="22" t="s">
        <v>355</v>
      </c>
      <c r="I121" s="20" t="n">
        <v>5</v>
      </c>
      <c r="J121" s="23" t="n">
        <v>4500</v>
      </c>
      <c r="K121" s="24" t="n">
        <v>0</v>
      </c>
      <c r="L121" s="25" t="n">
        <v>22500</v>
      </c>
      <c r="M121" s="25" t="n">
        <v>13000</v>
      </c>
      <c r="N121" s="25" t="n">
        <v>9500</v>
      </c>
    </row>
  </sheetData>
  <autoFilter ref="A1:N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5" min="3" style="0" width="20"/>
    <col collapsed="false" customWidth="true" hidden="false" outlineLevel="0" max="6" min="6" style="0" width="16"/>
  </cols>
  <sheetData>
    <row r="1" customFormat="false" ht="19.5" hidden="false" customHeight="true" outlineLevel="0" collapsed="false">
      <c r="A1" s="26" t="s">
        <v>356</v>
      </c>
      <c r="B1" s="26"/>
      <c r="C1" s="26"/>
      <c r="D1" s="26"/>
      <c r="E1" s="26"/>
      <c r="F1" s="26"/>
    </row>
    <row r="2" customFormat="false" ht="30" hidden="false" customHeight="true" outlineLevel="0" collapsed="false">
      <c r="A2" s="27" t="s">
        <v>357</v>
      </c>
      <c r="B2" s="27" t="s">
        <v>358</v>
      </c>
      <c r="C2" s="27" t="s">
        <v>359</v>
      </c>
      <c r="D2" s="27" t="s">
        <v>360</v>
      </c>
      <c r="E2" s="27" t="s">
        <v>361</v>
      </c>
      <c r="F2" s="27" t="s">
        <v>362</v>
      </c>
    </row>
    <row r="3" customFormat="false" ht="15" hidden="false" customHeight="false" outlineLevel="0" collapsed="false">
      <c r="A3" s="22" t="s">
        <v>363</v>
      </c>
      <c r="B3" s="20" t="n">
        <v>30</v>
      </c>
      <c r="C3" s="28" t="n">
        <v>561950</v>
      </c>
      <c r="D3" s="28" t="n">
        <v>389000</v>
      </c>
      <c r="E3" s="28" t="n">
        <v>172950</v>
      </c>
      <c r="F3" s="29" t="n">
        <f aca="false">E3/C3</f>
        <v>0.30776759498176</v>
      </c>
    </row>
    <row r="4" customFormat="false" ht="15" hidden="false" customHeight="false" outlineLevel="0" collapsed="false">
      <c r="A4" s="16" t="s">
        <v>364</v>
      </c>
      <c r="B4" s="14" t="n">
        <v>30</v>
      </c>
      <c r="C4" s="30" t="n">
        <v>435530</v>
      </c>
      <c r="D4" s="30" t="n">
        <v>316000</v>
      </c>
      <c r="E4" s="30" t="n">
        <v>119530</v>
      </c>
      <c r="F4" s="31" t="n">
        <f aca="false">E4/C4</f>
        <v>0.274447225219847</v>
      </c>
    </row>
    <row r="5" customFormat="false" ht="15" hidden="false" customHeight="false" outlineLevel="0" collapsed="false">
      <c r="A5" s="22" t="s">
        <v>365</v>
      </c>
      <c r="B5" s="20" t="n">
        <v>30</v>
      </c>
      <c r="C5" s="28" t="n">
        <v>610125</v>
      </c>
      <c r="D5" s="28" t="n">
        <v>455000</v>
      </c>
      <c r="E5" s="28" t="n">
        <v>155125</v>
      </c>
      <c r="F5" s="29" t="n">
        <f aca="false">E5/C5</f>
        <v>0.254251178037287</v>
      </c>
    </row>
    <row r="6" customFormat="false" ht="15" hidden="false" customHeight="false" outlineLevel="0" collapsed="false">
      <c r="A6" s="16" t="s">
        <v>366</v>
      </c>
      <c r="B6" s="14" t="n">
        <v>30</v>
      </c>
      <c r="C6" s="30" t="n">
        <v>600230</v>
      </c>
      <c r="D6" s="30" t="n">
        <v>452500</v>
      </c>
      <c r="E6" s="30" t="n">
        <v>147730</v>
      </c>
      <c r="F6" s="31" t="n">
        <f aca="false">E6/C6</f>
        <v>0.246122319777419</v>
      </c>
    </row>
    <row r="7" customFormat="false" ht="15" hidden="false" customHeight="false" outlineLevel="0" collapsed="false">
      <c r="A7" s="22" t="s">
        <v>367</v>
      </c>
      <c r="B7" s="20" t="n">
        <v>30</v>
      </c>
      <c r="C7" s="28" t="n">
        <v>425550</v>
      </c>
      <c r="D7" s="28" t="n">
        <v>323000</v>
      </c>
      <c r="E7" s="28" t="n">
        <v>102550</v>
      </c>
      <c r="F7" s="29" t="n">
        <f aca="false">E7/C7</f>
        <v>0.240982258254024</v>
      </c>
    </row>
    <row r="8" customFormat="false" ht="15" hidden="false" customHeight="false" outlineLevel="0" collapsed="false">
      <c r="A8" s="16" t="s">
        <v>368</v>
      </c>
      <c r="B8" s="14" t="n">
        <v>30</v>
      </c>
      <c r="C8" s="30" t="n">
        <v>447400</v>
      </c>
      <c r="D8" s="30" t="n">
        <v>326500</v>
      </c>
      <c r="E8" s="30" t="n">
        <v>120900</v>
      </c>
      <c r="F8" s="31" t="n">
        <f aca="false">E8/C8</f>
        <v>0.270227983907018</v>
      </c>
    </row>
    <row r="9" customFormat="false" ht="15" hidden="false" customHeight="false" outlineLevel="0" collapsed="false">
      <c r="A9" s="22" t="s">
        <v>369</v>
      </c>
      <c r="B9" s="20" t="n">
        <v>30</v>
      </c>
      <c r="C9" s="28" t="n">
        <v>696300</v>
      </c>
      <c r="D9" s="28" t="n">
        <v>523200</v>
      </c>
      <c r="E9" s="28" t="n">
        <v>173100</v>
      </c>
      <c r="F9" s="29" t="n">
        <f aca="false">E9/C9</f>
        <v>0.248599741490737</v>
      </c>
    </row>
    <row r="10" customFormat="false" ht="15" hidden="false" customHeight="false" outlineLevel="0" collapsed="false">
      <c r="A10" s="16" t="s">
        <v>370</v>
      </c>
      <c r="B10" s="14" t="n">
        <v>30</v>
      </c>
      <c r="C10" s="30" t="n">
        <v>568650</v>
      </c>
      <c r="D10" s="30" t="n">
        <v>431500</v>
      </c>
      <c r="E10" s="30" t="n">
        <v>137150</v>
      </c>
      <c r="F10" s="31" t="n">
        <f aca="false">E10/C10</f>
        <v>0.241185263343005</v>
      </c>
    </row>
    <row r="11" customFormat="false" ht="15" hidden="false" customHeight="false" outlineLevel="0" collapsed="false">
      <c r="A11" s="22" t="s">
        <v>371</v>
      </c>
      <c r="B11" s="20" t="n">
        <v>30</v>
      </c>
      <c r="C11" s="28" t="n">
        <v>617120</v>
      </c>
      <c r="D11" s="28" t="n">
        <v>458300</v>
      </c>
      <c r="E11" s="28" t="n">
        <v>158820</v>
      </c>
      <c r="F11" s="29" t="n">
        <f aca="false">E11/C11</f>
        <v>0.25735675395385</v>
      </c>
    </row>
    <row r="12" customFormat="false" ht="15" hidden="false" customHeight="false" outlineLevel="0" collapsed="false">
      <c r="A12" s="16" t="s">
        <v>372</v>
      </c>
      <c r="B12" s="14" t="n">
        <v>30</v>
      </c>
      <c r="C12" s="30" t="n">
        <v>778040</v>
      </c>
      <c r="D12" s="30" t="n">
        <v>595200</v>
      </c>
      <c r="E12" s="30" t="n">
        <v>182840</v>
      </c>
      <c r="F12" s="31" t="n">
        <f aca="false">E12/C12</f>
        <v>0.235000771168577</v>
      </c>
    </row>
    <row r="13" customFormat="false" ht="15" hidden="false" customHeight="false" outlineLevel="0" collapsed="false">
      <c r="A13" s="22" t="s">
        <v>373</v>
      </c>
      <c r="B13" s="20" t="n">
        <v>30</v>
      </c>
      <c r="C13" s="28" t="n">
        <v>728890</v>
      </c>
      <c r="D13" s="28" t="n">
        <v>561000</v>
      </c>
      <c r="E13" s="28" t="n">
        <v>167890</v>
      </c>
      <c r="F13" s="29" t="n">
        <f aca="false">E13/C13</f>
        <v>0.230336539121129</v>
      </c>
    </row>
    <row r="14" customFormat="false" ht="15" hidden="false" customHeight="false" outlineLevel="0" collapsed="false">
      <c r="A14" s="16" t="s">
        <v>374</v>
      </c>
      <c r="B14" s="14" t="n">
        <v>30</v>
      </c>
      <c r="C14" s="30" t="n">
        <v>1388550</v>
      </c>
      <c r="D14" s="30" t="n">
        <v>1050000</v>
      </c>
      <c r="E14" s="30" t="n">
        <v>338550</v>
      </c>
      <c r="F14" s="31" t="n">
        <f aca="false">E14/C14</f>
        <v>0.243815490979799</v>
      </c>
    </row>
    <row r="15" customFormat="false" ht="15" hidden="false" customHeight="false" outlineLevel="0" collapsed="false">
      <c r="A15" s="32" t="s">
        <v>375</v>
      </c>
      <c r="B15" s="33" t="n">
        <f aca="false">SUM(B3:B14)</f>
        <v>360</v>
      </c>
      <c r="C15" s="34" t="n">
        <f aca="false">SUM(C3:C14)</f>
        <v>7858335</v>
      </c>
      <c r="D15" s="34" t="n">
        <f aca="false">SUM(D3:D14)</f>
        <v>5881200</v>
      </c>
      <c r="E15" s="34" t="n">
        <f aca="false">SUM(E3:E14)</f>
        <v>1977135</v>
      </c>
      <c r="F15" s="35" t="n">
        <f aca="false">E15/C15</f>
        <v>0.251597189480978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4" min="3" style="0" width="22"/>
    <col collapsed="false" customWidth="true" hidden="false" outlineLevel="0" max="6" min="5" style="0" width="16"/>
  </cols>
  <sheetData>
    <row r="1" customFormat="false" ht="17.35" hidden="false" customHeight="true" outlineLevel="0" collapsed="false">
      <c r="A1" s="26" t="s">
        <v>376</v>
      </c>
      <c r="B1" s="26"/>
      <c r="C1" s="26"/>
      <c r="D1" s="26"/>
      <c r="E1" s="26"/>
      <c r="F1" s="26"/>
    </row>
    <row r="2" customFormat="false" ht="15" hidden="false" customHeight="false" outlineLevel="0" collapsed="false">
      <c r="A2" s="13" t="s">
        <v>19</v>
      </c>
      <c r="B2" s="13" t="s">
        <v>377</v>
      </c>
      <c r="C2" s="13" t="s">
        <v>359</v>
      </c>
      <c r="D2" s="13" t="s">
        <v>361</v>
      </c>
      <c r="E2" s="13" t="s">
        <v>362</v>
      </c>
      <c r="F2" s="13" t="s">
        <v>378</v>
      </c>
    </row>
    <row r="3" customFormat="false" ht="15" hidden="false" customHeight="false" outlineLevel="0" collapsed="false">
      <c r="A3" s="36" t="s">
        <v>39</v>
      </c>
      <c r="B3" s="37" t="n">
        <v>42</v>
      </c>
      <c r="C3" s="38" t="n">
        <v>2457530</v>
      </c>
      <c r="D3" s="39" t="n">
        <v>658890</v>
      </c>
      <c r="E3" s="40" t="n">
        <f aca="false">D3/C3</f>
        <v>0.268110663959341</v>
      </c>
    </row>
    <row r="4" customFormat="false" ht="15" hidden="false" customHeight="false" outlineLevel="0" collapsed="false">
      <c r="A4" s="41" t="s">
        <v>32</v>
      </c>
      <c r="B4" s="14" t="n">
        <v>38</v>
      </c>
      <c r="C4" s="30" t="n">
        <v>2312670</v>
      </c>
      <c r="D4" s="42" t="n">
        <v>614220</v>
      </c>
      <c r="E4" s="43" t="n">
        <f aca="false">D4/C4</f>
        <v>0.265589124258973</v>
      </c>
    </row>
    <row r="5" customFormat="false" ht="15" hidden="false" customHeight="false" outlineLevel="0" collapsed="false">
      <c r="A5" s="44" t="s">
        <v>46</v>
      </c>
      <c r="B5" s="45" t="n">
        <v>22</v>
      </c>
      <c r="C5" s="46" t="n">
        <v>897440</v>
      </c>
      <c r="D5" s="47" t="n">
        <v>244080</v>
      </c>
      <c r="E5" s="48" t="n">
        <f aca="false">D5/C5</f>
        <v>0.271973613834908</v>
      </c>
    </row>
    <row r="6" customFormat="false" ht="15" hidden="false" customHeight="false" outlineLevel="0" collapsed="false">
      <c r="A6" s="49" t="s">
        <v>52</v>
      </c>
      <c r="B6" s="50" t="n">
        <v>18</v>
      </c>
      <c r="C6" s="51" t="n">
        <v>791695</v>
      </c>
      <c r="D6" s="52" t="n">
        <v>211950</v>
      </c>
      <c r="E6" s="53" t="n">
        <f aca="false">D6/C6</f>
        <v>0.267716734348455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5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6" min="5" style="0" width="20"/>
  </cols>
  <sheetData>
    <row r="1" customFormat="false" ht="17.35" hidden="false" customHeight="true" outlineLevel="0" collapsed="false">
      <c r="A1" s="26" t="s">
        <v>379</v>
      </c>
      <c r="B1" s="26"/>
      <c r="C1" s="26"/>
      <c r="D1" s="26"/>
      <c r="E1" s="26"/>
      <c r="F1" s="26"/>
    </row>
    <row r="2" customFormat="false" ht="15" hidden="false" customHeight="false" outlineLevel="0" collapsed="false">
      <c r="A2" s="13" t="s">
        <v>380</v>
      </c>
      <c r="B2" s="13" t="s">
        <v>381</v>
      </c>
      <c r="C2" s="13" t="s">
        <v>382</v>
      </c>
      <c r="D2" s="13" t="s">
        <v>383</v>
      </c>
      <c r="E2" s="13" t="s">
        <v>359</v>
      </c>
      <c r="F2" s="13" t="s">
        <v>361</v>
      </c>
    </row>
    <row r="3" customFormat="false" ht="15" hidden="false" customHeight="false" outlineLevel="0" collapsed="false">
      <c r="A3" s="54" t="n">
        <v>1</v>
      </c>
      <c r="B3" s="55" t="s">
        <v>35</v>
      </c>
      <c r="C3" s="55" t="s">
        <v>34</v>
      </c>
      <c r="D3" s="54" t="n">
        <v>17</v>
      </c>
      <c r="E3" s="56" t="n">
        <v>1376500</v>
      </c>
      <c r="F3" s="56" t="n">
        <v>356750</v>
      </c>
    </row>
    <row r="4" customFormat="false" ht="15" hidden="false" customHeight="false" outlineLevel="0" collapsed="false">
      <c r="A4" s="57" t="n">
        <v>2</v>
      </c>
      <c r="B4" s="58" t="s">
        <v>353</v>
      </c>
      <c r="C4" s="58" t="s">
        <v>41</v>
      </c>
      <c r="D4" s="57" t="n">
        <v>1</v>
      </c>
      <c r="E4" s="59" t="n">
        <v>308000</v>
      </c>
      <c r="F4" s="59" t="n">
        <v>58000</v>
      </c>
    </row>
    <row r="5" customFormat="false" ht="15" hidden="false" customHeight="false" outlineLevel="0" collapsed="false">
      <c r="A5" s="60" t="n">
        <v>3</v>
      </c>
      <c r="B5" s="61" t="s">
        <v>344</v>
      </c>
      <c r="C5" s="61" t="s">
        <v>34</v>
      </c>
      <c r="D5" s="60" t="n">
        <v>1</v>
      </c>
      <c r="E5" s="62" t="n">
        <v>162000</v>
      </c>
      <c r="F5" s="62" t="n">
        <v>32000</v>
      </c>
    </row>
    <row r="6" customFormat="false" ht="15" hidden="false" customHeight="false" outlineLevel="0" collapsed="false">
      <c r="A6" s="14" t="n">
        <v>4</v>
      </c>
      <c r="B6" s="16" t="s">
        <v>340</v>
      </c>
      <c r="C6" s="16" t="s">
        <v>41</v>
      </c>
      <c r="D6" s="14" t="n">
        <v>8</v>
      </c>
      <c r="E6" s="30" t="n">
        <v>158400</v>
      </c>
      <c r="F6" s="30" t="n">
        <v>30400</v>
      </c>
    </row>
    <row r="7" customFormat="false" ht="15" hidden="false" customHeight="false" outlineLevel="0" collapsed="false">
      <c r="A7" s="20" t="n">
        <v>5</v>
      </c>
      <c r="B7" s="22" t="s">
        <v>71</v>
      </c>
      <c r="C7" s="22" t="s">
        <v>34</v>
      </c>
      <c r="D7" s="20" t="n">
        <v>12</v>
      </c>
      <c r="E7" s="28" t="n">
        <v>470400</v>
      </c>
      <c r="F7" s="28" t="n">
        <v>118400</v>
      </c>
    </row>
    <row r="8" customFormat="false" ht="15" hidden="false" customHeight="false" outlineLevel="0" collapsed="false">
      <c r="A8" s="14" t="n">
        <v>6</v>
      </c>
      <c r="B8" s="16" t="s">
        <v>322</v>
      </c>
      <c r="C8" s="16" t="s">
        <v>41</v>
      </c>
      <c r="D8" s="14" t="n">
        <v>1</v>
      </c>
      <c r="E8" s="30" t="n">
        <v>158400</v>
      </c>
      <c r="F8" s="30" t="n">
        <v>28400</v>
      </c>
    </row>
    <row r="9" customFormat="false" ht="15" hidden="false" customHeight="false" outlineLevel="0" collapsed="false">
      <c r="A9" s="20" t="n">
        <v>7</v>
      </c>
      <c r="B9" s="22" t="s">
        <v>154</v>
      </c>
      <c r="C9" s="22" t="s">
        <v>34</v>
      </c>
      <c r="D9" s="20" t="n">
        <v>1</v>
      </c>
      <c r="E9" s="28" t="n">
        <v>230000</v>
      </c>
      <c r="F9" s="28" t="n">
        <v>50000</v>
      </c>
    </row>
    <row r="10" customFormat="false" ht="15" hidden="false" customHeight="false" outlineLevel="0" collapsed="false">
      <c r="A10" s="14" t="n">
        <v>8</v>
      </c>
      <c r="B10" s="16" t="s">
        <v>64</v>
      </c>
      <c r="C10" s="16" t="s">
        <v>34</v>
      </c>
      <c r="D10" s="14" t="n">
        <v>3</v>
      </c>
      <c r="E10" s="30" t="n">
        <v>148500</v>
      </c>
      <c r="F10" s="30" t="n">
        <v>40500</v>
      </c>
    </row>
    <row r="11" customFormat="false" ht="15" hidden="false" customHeight="false" outlineLevel="0" collapsed="false">
      <c r="A11" s="20" t="n">
        <v>9</v>
      </c>
      <c r="B11" s="22" t="s">
        <v>305</v>
      </c>
      <c r="C11" s="22" t="s">
        <v>41</v>
      </c>
      <c r="D11" s="20" t="n">
        <v>1</v>
      </c>
      <c r="E11" s="28" t="n">
        <v>130500</v>
      </c>
      <c r="F11" s="28" t="n">
        <v>28500</v>
      </c>
    </row>
    <row r="12" customFormat="false" ht="15" hidden="false" customHeight="false" outlineLevel="0" collapsed="false">
      <c r="A12" s="14" t="n">
        <v>10</v>
      </c>
      <c r="B12" s="16" t="s">
        <v>207</v>
      </c>
      <c r="C12" s="16" t="s">
        <v>34</v>
      </c>
      <c r="D12" s="14" t="n">
        <v>2</v>
      </c>
      <c r="E12" s="30" t="n">
        <v>135000</v>
      </c>
      <c r="F12" s="30" t="n">
        <v>35000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2026-04-22T05:51:53Z</dcterms:created>
  <dc:creator>openpyxl</dc:creator>
  <dc:description/>
  <dc:language>en-US</dc:language>
  <cp:lastModifiedBy/>
  <dcterms:modified xsi:type="dcterms:W3CDTF">2026-04-22T05:52:03Z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